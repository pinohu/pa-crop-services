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24-Month P&amp;L" sheetId="2" state="visible" r:id="rId4"/>
    <sheet name="Unit Economics" sheetId="3" state="visible" r:id="rId5"/>
    <sheet name="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<sst xmlns="http://schemas.openxmlformats.org/spreadsheetml/2006/main" count="214" uniqueCount="210">
  <si>
    <t xml:space="preserve">PA CROP Business — Financial Assumptions</t>
  </si>
  <si>
    <t xml:space="preserve">STARTUP COSTS</t>
  </si>
  <si>
    <t xml:space="preserve">Amount</t>
  </si>
  <si>
    <t xml:space="preserve">Notes</t>
  </si>
  <si>
    <t xml:space="preserve">PA LLC filing</t>
  </si>
  <si>
    <t xml:space="preserve">One-time, PA DOS</t>
  </si>
  <si>
    <t xml:space="preserve">CROP registration</t>
  </si>
  <si>
    <t xml:space="preserve">Statement of address filing</t>
  </si>
  <si>
    <t xml:space="preserve">Domain registration</t>
  </si>
  <si>
    <t xml:space="preserve">Annual, pacropservices.com</t>
  </si>
  <si>
    <t xml:space="preserve">Professional liability insurance</t>
  </si>
  <si>
    <t xml:space="preserve">Annual E&amp;O policy</t>
  </si>
  <si>
    <t xml:space="preserve">Legal review of service agreement</t>
  </si>
  <si>
    <t xml:space="preserve">Attorney review</t>
  </si>
  <si>
    <t xml:space="preserve">Initial Google Ads budget</t>
  </si>
  <si>
    <t xml:space="preserve">Month 1 testing</t>
  </si>
  <si>
    <t xml:space="preserve">Office supplies (scanner, etc.)</t>
  </si>
  <si>
    <t xml:space="preserve">One-time</t>
  </si>
  <si>
    <t xml:space="preserve">Marketing materials / brochures</t>
  </si>
  <si>
    <t xml:space="preserve">Partner outreach collateral</t>
  </si>
  <si>
    <t xml:space="preserve">Technology stack</t>
  </si>
  <si>
    <t xml:space="preserve">Existing Dynasty licenses — $0 marginal</t>
  </si>
  <si>
    <t xml:space="preserve">TOTAL STARTUP</t>
  </si>
  <si>
    <t xml:space="preserve">PRICING TIERS</t>
  </si>
  <si>
    <t xml:space="preserve">Annual Price</t>
  </si>
  <si>
    <t xml:space="preserve">Description</t>
  </si>
  <si>
    <t xml:space="preserve">Starter</t>
  </si>
  <si>
    <t xml:space="preserve">Basic CROP + mail forwarding</t>
  </si>
  <si>
    <t xml:space="preserve">Professional</t>
  </si>
  <si>
    <t xml:space="preserve">CROP + scanning + compliance calendar</t>
  </si>
  <si>
    <t xml:space="preserve">Premium</t>
  </si>
  <si>
    <t xml:space="preserve">Full service + filing + notary</t>
  </si>
  <si>
    <t xml:space="preserve">Partner (white-label)</t>
  </si>
  <si>
    <t xml:space="preserve">Per-client, CPA/attorney channel</t>
  </si>
  <si>
    <t xml:space="preserve">Annual report filing add-on</t>
  </si>
  <si>
    <t xml:space="preserve">Per filing, on top of $7 state fee</t>
  </si>
  <si>
    <t xml:space="preserve">LLC formation package</t>
  </si>
  <si>
    <t xml:space="preserve">Includes $125 state fee</t>
  </si>
  <si>
    <t xml:space="preserve">Notarization</t>
  </si>
  <si>
    <t xml:space="preserve">Per document</t>
  </si>
  <si>
    <t xml:space="preserve">Virtual mailbox add-on</t>
  </si>
  <si>
    <t xml:space="preserve">Per year ($15/month)</t>
  </si>
  <si>
    <t xml:space="preserve">Compliance monitoring add-on</t>
  </si>
  <si>
    <t xml:space="preserve">Per year ($10/month)</t>
  </si>
  <si>
    <t xml:space="preserve">MONTHLY OPERATING COSTS</t>
  </si>
  <si>
    <t xml:space="preserve">Monthly</t>
  </si>
  <si>
    <t xml:space="preserve">Office overhead (allocated)</t>
  </si>
  <si>
    <t xml:space="preserve">Portion of existing Erie office</t>
  </si>
  <si>
    <t xml:space="preserve">Google Ads</t>
  </si>
  <si>
    <t xml:space="preserve">Scaling with revenue</t>
  </si>
  <si>
    <t xml:space="preserve">Postage and mail forwarding</t>
  </si>
  <si>
    <t xml:space="preserve">Scales with client count</t>
  </si>
  <si>
    <t xml:space="preserve">Part-time staff (mail handling)</t>
  </si>
  <si>
    <t xml:space="preserve">Needed at 200+ clients</t>
  </si>
  <si>
    <t xml:space="preserve">Insurance (monthly)</t>
  </si>
  <si>
    <t xml:space="preserve">E&amp;O amortized</t>
  </si>
  <si>
    <t xml:space="preserve">Miscellaneous</t>
  </si>
  <si>
    <t xml:space="preserve">Supplies, printing</t>
  </si>
  <si>
    <t xml:space="preserve">Stripe processing (est.)</t>
  </si>
  <si>
    <t xml:space="preserve">~3% of monthly revenue</t>
  </si>
  <si>
    <t xml:space="preserve">TOTAL MONTHLY OPEX</t>
  </si>
  <si>
    <t xml:space="preserve">GROWTH ASSUMPTIONS</t>
  </si>
  <si>
    <t xml:space="preserve">Value</t>
  </si>
  <si>
    <t xml:space="preserve">New clients per month (Month 1-3)</t>
  </si>
  <si>
    <t xml:space="preserve">New clients per month (Month 4-6)</t>
  </si>
  <si>
    <t xml:space="preserve">New clients per month (Month 7-12)</t>
  </si>
  <si>
    <t xml:space="preserve">New clients per month (Month 13-18)</t>
  </si>
  <si>
    <t xml:space="preserve">New clients per month (Month 19-24)</t>
  </si>
  <si>
    <t xml:space="preserve">Monthly churn rate</t>
  </si>
  <si>
    <t xml:space="preserve">Starter tier mix</t>
  </si>
  <si>
    <t xml:space="preserve">Professional tier mix</t>
  </si>
  <si>
    <t xml:space="preserve">Premium tier mix</t>
  </si>
  <si>
    <t xml:space="preserve">Partner tier mix</t>
  </si>
  <si>
    <t xml:space="preserve">Add-on adoption rate</t>
  </si>
  <si>
    <t xml:space="preserve">Average add-on revenue per adopter</t>
  </si>
  <si>
    <t xml:space="preserve">PA CROP Business — 24-Month Profit &amp; Loss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</si>
  <si>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</si>
  <si>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</si>
  <si>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</si>
  <si>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</si>
  <si>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</si>
  <si>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</si>
  <si>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</si>
  <si>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</si>
  <si>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</si>
  <si>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</si>
  <si>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</si>
  <si>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</si>
  <si>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</si>
  <si>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</si>
  <si>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</si>
  <si>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</si>
  <si>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</si>
  <si>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</si>
  <si>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Month 19</t>
  </si>
  <si>
    <t xml:space="preserve">Month 20</t>
  </si>
  <si>
    <t xml:space="preserve">Month 21</t>
  </si>
  <si>
    <t xml:space="preserve">Month 22</t>
  </si>
  <si>
    <t xml:space="preserve">Month 23</t>
  </si>
  <si>
    <t xml:space="preserve">Month 24</t>
  </si>
  <si>
    <t xml:space="preserve">REVENUE</t>
  </si>
  <si>
    <t xml:space="preserve">New clients acquired</t>
  </si>
  <si>
    <t xml:space="preserve">Churned clients</t>
  </si>
  <si>
    <t xml:space="preserve">Total active clients</t>
  </si>
  <si>
    <t xml:space="preserve">Starter revenue</t>
  </si>
  <si>
    <t xml:space="preserve">Professional revenue</t>
  </si>
  <si>
    <t xml:space="preserve">Premium revenue</t>
  </si>
  <si>
    <t xml:space="preserve">Partner revenue</t>
  </si>
  <si>
    <t xml:space="preserve">Add-on revenue</t>
  </si>
  <si>
    <t xml:space="preserve">TOTAL REVENUE</t>
  </si>
  <si>
    <t xml:space="preserve">EXPENSES</t>
  </si>
  <si>
    <t xml:space="preserve">Office overhead</t>
  </si>
  <si>
    <t xml:space="preserve">Postage/mail</t>
  </si>
  <si>
    <t xml:space="preserve">Staff</t>
  </si>
  <si>
    <t xml:space="preserve">Insurance</t>
  </si>
  <si>
    <t xml:space="preserve">Stripe fees (3%)</t>
  </si>
  <si>
    <t xml:space="preserve">TOTAL EXPENSES</t>
  </si>
  <si>
    <t xml:space="preserve">NET PROFIT</t>
  </si>
  <si>
    <t xml:space="preserve">Cumulative profit</t>
  </si>
  <si>
    <t xml:space="preserve">KEY METRICS</t>
  </si>
  <si>
    <t xml:space="preserve">MRR</t>
  </si>
  <si>
    <t xml:space="preserve">ARR run rate</t>
  </si>
  <si>
    <t xml:space="preserve">Avg revenue per client</t>
  </si>
  <si>
    <t xml:space="preserve">Gross margin</t>
  </si>
  <si>
    <t xml:space="preserve">PA CROP Business — Unit Economics</t>
  </si>
  <si>
    <t xml:space="preserve">ACQUISITION METRICS</t>
  </si>
  <si>
    <t xml:space="preserve">Customer Acquisition Cost (blended)</t>
  </si>
  <si>
    <t xml:space="preserve">Weighted avg across all channels</t>
  </si>
  <si>
    <t xml:space="preserve">CAC — SEO / Organic</t>
  </si>
  <si>
    <t xml:space="preserve">Content cost amortized over leads</t>
  </si>
  <si>
    <t xml:space="preserve">CAC — Google Ads</t>
  </si>
  <si>
    <t xml:space="preserve">$500/mo budget, ~11 clients/mo</t>
  </si>
  <si>
    <t xml:space="preserve">CAC — Partner channel</t>
  </si>
  <si>
    <t xml:space="preserve">One-time setup per partner firm</t>
  </si>
  <si>
    <t xml:space="preserve">CAC — Direct outreach</t>
  </si>
  <si>
    <t xml:space="preserve">Email/LinkedIn, mostly time cost</t>
  </si>
  <si>
    <t xml:space="preserve">CAC — Referral</t>
  </si>
  <si>
    <t xml:space="preserve">$20 referral bonus</t>
  </si>
  <si>
    <t xml:space="preserve">LIFETIME VALUE</t>
  </si>
  <si>
    <t xml:space="preserve">Average annual revenue per client</t>
  </si>
  <si>
    <t xml:space="preserve">Blended across all tiers + add-ons</t>
  </si>
  <si>
    <t xml:space="preserve">Average client lifespan (years)</t>
  </si>
  <si>
    <t xml:space="preserve">CROP services are sticky — low churn</t>
  </si>
  <si>
    <t xml:space="preserve">Customer Lifetime Value (LTV)</t>
  </si>
  <si>
    <t xml:space="preserve">5 years x $150/yr</t>
  </si>
  <si>
    <t xml:space="preserve">LTV:CAC Ratio</t>
  </si>
  <si>
    <t xml:space="preserve">30:1</t>
  </si>
  <si>
    <t xml:space="preserve">Target: &gt;3:1</t>
  </si>
  <si>
    <t xml:space="preserve">Payback period (months)</t>
  </si>
  <si>
    <t xml:space="preserve">Revenue covers CAC in month 2</t>
  </si>
  <si>
    <t xml:space="preserve">PROFITABILITY METRICS</t>
  </si>
  <si>
    <t xml:space="preserve">Gross margin per client</t>
  </si>
  <si>
    <t xml:space="preserve">87%</t>
  </si>
  <si>
    <t xml:space="preserve">Revenue minus direct costs</t>
  </si>
  <si>
    <t xml:space="preserve">Operating cost per client/year</t>
  </si>
  <si>
    <t xml:space="preserve">Total opex / total clients</t>
  </si>
  <si>
    <t xml:space="preserve">Net profit per client/year</t>
  </si>
  <si>
    <t xml:space="preserve">$150 revenue - $20 opex</t>
  </si>
  <si>
    <t xml:space="preserve">Human labor per client/year</t>
  </si>
  <si>
    <t xml:space="preserve">15 min</t>
  </si>
  <si>
    <t xml:space="preserve">Fully automated except mail handling</t>
  </si>
  <si>
    <t xml:space="preserve">SCALE ECONOMICS</t>
  </si>
  <si>
    <t xml:space="preserve">Clients needed for $100K ARR</t>
  </si>
  <si>
    <t xml:space="preserve">$100K / $150 avg</t>
  </si>
  <si>
    <t xml:space="preserve">Clients needed for $300K ARR</t>
  </si>
  <si>
    <t xml:space="preserve">$300K / $150 avg</t>
  </si>
  <si>
    <t xml:space="preserve">Clients needed for $600K ARR</t>
  </si>
  <si>
    <t xml:space="preserve">$600K / $150 avg</t>
  </si>
  <si>
    <t xml:space="preserve">Partner firms needed for $200K ARR</t>
  </si>
  <si>
    <t xml:space="preserve">@ 75 clients/firm x $99</t>
  </si>
  <si>
    <t xml:space="preserve">EXIT VALUATION</t>
  </si>
  <si>
    <t xml:space="preserve">Revenue multiple (low)</t>
  </si>
  <si>
    <t xml:space="preserve">3.0x</t>
  </si>
  <si>
    <t xml:space="preserve">Compliance businesses trade at 3-5x ARR</t>
  </si>
  <si>
    <t xml:space="preserve">Revenue multiple (high)</t>
  </si>
  <si>
    <t xml:space="preserve">5.0x</t>
  </si>
  <si>
    <t xml:space="preserve">High-margin, recurring, low-churn premium</t>
  </si>
  <si>
    <t xml:space="preserve">Valuation at $300K ARR (low)</t>
  </si>
  <si>
    <t xml:space="preserve">$900K</t>
  </si>
  <si>
    <t xml:space="preserve">Valuation at $300K ARR (high)</t>
  </si>
  <si>
    <t xml:space="preserve">$1.5M</t>
  </si>
  <si>
    <t xml:space="preserve">Valuation at $600K ARR (low)</t>
  </si>
  <si>
    <t xml:space="preserve">$1.8M</t>
  </si>
  <si>
    <t xml:space="preserve">Valuation at $600K ARR (high)</t>
  </si>
  <si>
    <t xml:space="preserve">$3.0M</t>
  </si>
  <si>
    <t xml:space="preserve">PA CROP Business — Scenario Analysis</t>
  </si>
  <si>
    <t xml:space="preserve">Conservative</t>
  </si>
  <si>
    <t xml:space="preserve">Base Case</t>
  </si>
  <si>
    <t xml:space="preserve">Aggressive</t>
  </si>
  <si>
    <t xml:space="preserve">YEAR 1 PROJECTIONS</t>
  </si>
  <si>
    <t xml:space="preserve">Total clients (end of Year 1)</t>
  </si>
  <si>
    <t xml:space="preserve">Blended avg revenue/client</t>
  </si>
  <si>
    <t xml:space="preserve">Year 1 ARR</t>
  </si>
  <si>
    <t xml:space="preserve">Total Year 1 revenue</t>
  </si>
  <si>
    <t xml:space="preserve">Total Year 1 expenses</t>
  </si>
  <si>
    <t xml:space="preserve">Year 1 net profit</t>
  </si>
  <si>
    <t xml:space="preserve">YEAR 2 PROJECTIONS</t>
  </si>
  <si>
    <t xml:space="preserve">Total clients (end of Year 2)</t>
  </si>
  <si>
    <t xml:space="preserve">Year 2 ARR</t>
  </si>
  <si>
    <t xml:space="preserve">Total Year 2 revenue</t>
  </si>
  <si>
    <t xml:space="preserve">Total Year 2 expenses</t>
  </si>
  <si>
    <t xml:space="preserve">Year 2 net profit</t>
  </si>
  <si>
    <t xml:space="preserve">CUMULATIVE (2 YEARS)</t>
  </si>
  <si>
    <t xml:space="preserve">Total revenue</t>
  </si>
  <si>
    <t xml:space="preserve">Total expenses</t>
  </si>
  <si>
    <t xml:space="preserve">Total net profit</t>
  </si>
  <si>
    <t xml:space="preserve">ROI on startup investment</t>
  </si>
  <si>
    <t xml:space="preserve">EXIT VALUATION (at Year 2 ARR)</t>
  </si>
  <si>
    <t xml:space="preserve">At 3x ARR</t>
  </si>
  <si>
    <t xml:space="preserve">At 5x ARR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</si>
</sst>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\$#,##0;&quot;($&quot;#,##0\);\-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6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34AB7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6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34AB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5" t="n">
        <v>125</v>
      </c>
      <c r="C4" s="4" t="s">
        <v>5</v>
      </c>
    </row>
    <row r="5" customFormat="false" ht="15" hidden="false" customHeight="true" outlineLevel="0" collapsed="false">
      <c r="A5" s="4" t="s">
        <v>6</v>
      </c>
      <c r="B5" s="5" t="n">
        <v>150</v>
      </c>
      <c r="C5" s="4" t="s">
        <v>7</v>
      </c>
    </row>
    <row r="6" customFormat="false" ht="15" hidden="false" customHeight="true" outlineLevel="0" collapsed="false">
      <c r="A6" s="4" t="s">
        <v>8</v>
      </c>
      <c r="B6" s="5" t="n">
        <v>15</v>
      </c>
      <c r="C6" s="4" t="s">
        <v>9</v>
      </c>
    </row>
    <row r="7" customFormat="false" ht="15" hidden="false" customHeight="true" outlineLevel="0" collapsed="false">
      <c r="A7" s="4" t="s">
        <v>10</v>
      </c>
      <c r="B7" s="5" t="n">
        <v>750</v>
      </c>
      <c r="C7" s="4" t="s">
        <v>11</v>
      </c>
    </row>
    <row r="8" customFormat="false" ht="15" hidden="false" customHeight="true" outlineLevel="0" collapsed="false">
      <c r="A8" s="4" t="s">
        <v>12</v>
      </c>
      <c r="B8" s="5" t="n">
        <v>750</v>
      </c>
      <c r="C8" s="4" t="s">
        <v>13</v>
      </c>
    </row>
    <row r="9" customFormat="false" ht="15" hidden="false" customHeight="true" outlineLevel="0" collapsed="false">
      <c r="A9" s="4" t="s">
        <v>14</v>
      </c>
      <c r="B9" s="5" t="n">
        <v>500</v>
      </c>
      <c r="C9" s="4" t="s">
        <v>15</v>
      </c>
    </row>
    <row r="10" customFormat="false" ht="15" hidden="false" customHeight="true" outlineLevel="0" collapsed="false">
      <c r="A10" s="4" t="s">
        <v>16</v>
      </c>
      <c r="B10" s="5" t="n">
        <v>350</v>
      </c>
      <c r="C10" s="4" t="s">
        <v>17</v>
      </c>
    </row>
    <row r="11" customFormat="false" ht="15" hidden="false" customHeight="true" outlineLevel="0" collapsed="false">
      <c r="A11" s="4" t="s">
        <v>18</v>
      </c>
      <c r="B11" s="5" t="n">
        <v>200</v>
      </c>
      <c r="C11" s="4" t="s">
        <v>19</v>
      </c>
    </row>
    <row r="12" customFormat="false" ht="15" hidden="false" customHeight="true" outlineLevel="0" collapsed="false">
      <c r="A12" s="4" t="s">
        <v>20</v>
      </c>
      <c r="B12" s="5" t="n">
        <v>0</v>
      </c>
      <c r="C12" s="4" t="s">
        <v>21</v>
      </c>
    </row>
    <row r="13" customFormat="false" ht="15" hidden="false" customHeight="true" outlineLevel="0" collapsed="false">
      <c r="A13" s="6" t="s">
        <v>22</v>
      </c>
      <c r="B13" s="7" t="n">
        <f aca="false">SUM(B4:B12)</f>
        <v>2840</v>
      </c>
    </row>
    <row r="15" customFormat="false" ht="15" hidden="false" customHeight="true" outlineLevel="0" collapsed="false">
      <c r="A15" s="3" t="s">
        <v>23</v>
      </c>
      <c r="B15" s="3" t="s">
        <v>24</v>
      </c>
      <c r="C15" s="3" t="s">
        <v>25</v>
      </c>
    </row>
    <row r="16" customFormat="false" ht="15" hidden="false" customHeight="true" outlineLevel="0" collapsed="false">
      <c r="A16" s="4" t="s">
        <v>26</v>
      </c>
      <c r="B16" s="5" t="n">
        <v>79</v>
      </c>
      <c r="C16" s="4" t="s">
        <v>27</v>
      </c>
    </row>
    <row r="17" customFormat="false" ht="15" hidden="false" customHeight="true" outlineLevel="0" collapsed="false">
      <c r="A17" s="4" t="s">
        <v>28</v>
      </c>
      <c r="B17" s="5" t="n">
        <v>179</v>
      </c>
      <c r="C17" s="4" t="s">
        <v>29</v>
      </c>
    </row>
    <row r="18" customFormat="false" ht="15" hidden="false" customHeight="true" outlineLevel="0" collapsed="false">
      <c r="A18" s="4" t="s">
        <v>30</v>
      </c>
      <c r="B18" s="5" t="n">
        <v>299</v>
      </c>
      <c r="C18" s="4" t="s">
        <v>31</v>
      </c>
    </row>
    <row r="19" customFormat="false" ht="15" hidden="false" customHeight="true" outlineLevel="0" collapsed="false">
      <c r="A19" s="4" t="s">
        <v>32</v>
      </c>
      <c r="B19" s="5" t="n">
        <v>99</v>
      </c>
      <c r="C19" s="4" t="s">
        <v>33</v>
      </c>
    </row>
    <row r="20" customFormat="false" ht="15" hidden="false" customHeight="true" outlineLevel="0" collapsed="false">
      <c r="A20" s="4" t="s">
        <v>34</v>
      </c>
      <c r="B20" s="5" t="n">
        <v>75</v>
      </c>
      <c r="C20" s="4" t="s">
        <v>35</v>
      </c>
    </row>
    <row r="21" customFormat="false" ht="15" hidden="false" customHeight="true" outlineLevel="0" collapsed="false">
      <c r="A21" s="4" t="s">
        <v>36</v>
      </c>
      <c r="B21" s="5" t="n">
        <v>650</v>
      </c>
      <c r="C21" s="4" t="s">
        <v>37</v>
      </c>
    </row>
    <row r="22" customFormat="false" ht="15" hidden="false" customHeight="true" outlineLevel="0" collapsed="false">
      <c r="A22" s="4" t="s">
        <v>38</v>
      </c>
      <c r="B22" s="5" t="n">
        <v>25</v>
      </c>
      <c r="C22" s="4" t="s">
        <v>39</v>
      </c>
    </row>
    <row r="23" customFormat="false" ht="15" hidden="false" customHeight="true" outlineLevel="0" collapsed="false">
      <c r="A23" s="4" t="s">
        <v>40</v>
      </c>
      <c r="B23" s="5" t="n">
        <v>180</v>
      </c>
      <c r="C23" s="4" t="s">
        <v>41</v>
      </c>
    </row>
    <row r="24" customFormat="false" ht="15" hidden="false" customHeight="true" outlineLevel="0" collapsed="false">
      <c r="A24" s="4" t="s">
        <v>42</v>
      </c>
      <c r="B24" s="5" t="n">
        <v>120</v>
      </c>
      <c r="C24" s="4" t="s">
        <v>43</v>
      </c>
    </row>
    <row r="26" customFormat="false" ht="15" hidden="false" customHeight="true" outlineLevel="0" collapsed="false">
      <c r="A26" s="3" t="s">
        <v>44</v>
      </c>
      <c r="B26" s="3" t="s">
        <v>45</v>
      </c>
      <c r="C26" s="3" t="s">
        <v>3</v>
      </c>
    </row>
    <row r="27" customFormat="false" ht="15" hidden="false" customHeight="true" outlineLevel="0" collapsed="false">
      <c r="A27" s="4" t="s">
        <v>46</v>
      </c>
      <c r="B27" s="5" t="n">
        <v>200</v>
      </c>
      <c r="C27" s="4" t="s">
        <v>47</v>
      </c>
    </row>
    <row r="28" customFormat="false" ht="15" hidden="false" customHeight="true" outlineLevel="0" collapsed="false">
      <c r="A28" s="4" t="s">
        <v>48</v>
      </c>
      <c r="B28" s="5" t="n">
        <v>500</v>
      </c>
      <c r="C28" s="4" t="s">
        <v>49</v>
      </c>
    </row>
    <row r="29" customFormat="false" ht="15" hidden="false" customHeight="true" outlineLevel="0" collapsed="false">
      <c r="A29" s="4" t="s">
        <v>50</v>
      </c>
      <c r="B29" s="5" t="n">
        <v>100</v>
      </c>
      <c r="C29" s="4" t="s">
        <v>51</v>
      </c>
    </row>
    <row r="30" customFormat="false" ht="15" hidden="false" customHeight="true" outlineLevel="0" collapsed="false">
      <c r="A30" s="4" t="s">
        <v>52</v>
      </c>
      <c r="B30" s="5" t="n">
        <v>500</v>
      </c>
      <c r="C30" s="4" t="s">
        <v>53</v>
      </c>
    </row>
    <row r="31" customFormat="false" ht="15" hidden="false" customHeight="true" outlineLevel="0" collapsed="false">
      <c r="A31" s="4" t="s">
        <v>54</v>
      </c>
      <c r="B31" s="5" t="n">
        <v>65</v>
      </c>
      <c r="C31" s="4" t="s">
        <v>55</v>
      </c>
    </row>
    <row r="32" customFormat="false" ht="15" hidden="false" customHeight="true" outlineLevel="0" collapsed="false">
      <c r="A32" s="4" t="s">
        <v>56</v>
      </c>
      <c r="B32" s="5" t="n">
        <v>100</v>
      </c>
      <c r="C32" s="4" t="s">
        <v>57</v>
      </c>
    </row>
    <row r="33" customFormat="false" ht="15" hidden="false" customHeight="true" outlineLevel="0" collapsed="false">
      <c r="A33" s="4" t="s">
        <v>58</v>
      </c>
      <c r="B33" s="5" t="n">
        <v>300</v>
      </c>
      <c r="C33" s="4" t="s">
        <v>59</v>
      </c>
    </row>
    <row r="34" customFormat="false" ht="15" hidden="false" customHeight="true" outlineLevel="0" collapsed="false">
      <c r="A34" s="6" t="s">
        <v>60</v>
      </c>
      <c r="B34" s="8" t="n">
        <f aca="false">SUM(B27:B33)</f>
        <v>1765</v>
      </c>
    </row>
    <row r="36" customFormat="false" ht="15" hidden="false" customHeight="true" outlineLevel="0" collapsed="false">
      <c r="A36" s="3" t="s">
        <v>61</v>
      </c>
      <c r="B36" s="3" t="s">
        <v>62</v>
      </c>
    </row>
    <row r="37" customFormat="false" ht="15" hidden="false" customHeight="true" outlineLevel="0" collapsed="false">
      <c r="A37" s="4" t="s">
        <v>63</v>
      </c>
      <c r="B37" s="9" t="n">
        <v>15</v>
      </c>
    </row>
    <row r="38" customFormat="false" ht="15" hidden="false" customHeight="true" outlineLevel="0" collapsed="false">
      <c r="A38" s="4" t="s">
        <v>64</v>
      </c>
      <c r="B38" s="9" t="n">
        <v>40</v>
      </c>
    </row>
    <row r="39" customFormat="false" ht="15" hidden="false" customHeight="true" outlineLevel="0" collapsed="false">
      <c r="A39" s="4" t="s">
        <v>65</v>
      </c>
      <c r="B39" s="9" t="n">
        <v>75</v>
      </c>
    </row>
    <row r="40" customFormat="false" ht="15" hidden="false" customHeight="true" outlineLevel="0" collapsed="false">
      <c r="A40" s="4" t="s">
        <v>66</v>
      </c>
      <c r="B40" s="9" t="n">
        <v>125</v>
      </c>
    </row>
    <row r="41" customFormat="false" ht="15" hidden="false" customHeight="true" outlineLevel="0" collapsed="false">
      <c r="A41" s="4" t="s">
        <v>67</v>
      </c>
      <c r="B41" s="9" t="n">
        <v>175</v>
      </c>
    </row>
    <row r="42" customFormat="false" ht="15" hidden="false" customHeight="true" outlineLevel="0" collapsed="false">
      <c r="A42" s="4" t="s">
        <v>68</v>
      </c>
      <c r="B42" s="10" t="n">
        <v>0.005</v>
      </c>
    </row>
    <row r="43" customFormat="false" ht="15" hidden="false" customHeight="true" outlineLevel="0" collapsed="false">
      <c r="A43" s="4" t="s">
        <v>69</v>
      </c>
      <c r="B43" s="10" t="n">
        <v>0.3</v>
      </c>
    </row>
    <row r="44" customFormat="false" ht="15" hidden="false" customHeight="true" outlineLevel="0" collapsed="false">
      <c r="A44" s="4" t="s">
        <v>70</v>
      </c>
      <c r="B44" s="10" t="n">
        <v>0.4</v>
      </c>
    </row>
    <row r="45" customFormat="false" ht="15" hidden="false" customHeight="true" outlineLevel="0" collapsed="false">
      <c r="A45" s="4" t="s">
        <v>71</v>
      </c>
      <c r="B45" s="10" t="n">
        <v>0.1</v>
      </c>
    </row>
    <row r="46" customFormat="false" ht="15" hidden="false" customHeight="true" outlineLevel="0" collapsed="false">
      <c r="A46" s="4" t="s">
        <v>72</v>
      </c>
      <c r="B46" s="10" t="n">
        <v>0.2</v>
      </c>
    </row>
    <row r="47" customFormat="false" ht="15" hidden="false" customHeight="true" outlineLevel="0" collapsed="false">
      <c r="A47" s="4" t="s">
        <v>73</v>
      </c>
      <c r="B47" s="10" t="n">
        <v>0.25</v>
      </c>
    </row>
    <row r="48" customFormat="false" ht="15" hidden="false" customHeight="true" outlineLevel="0" collapsed="false">
      <c r="A48" s="4" t="s">
        <v>74</v>
      </c>
      <c r="B48" s="5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5" min="2" style="1" width="12"/>
  </cols>
  <sheetData>
    <row r="1" customFormat="false" ht="17.25" hidden="false" customHeight="true" outlineLevel="0" collapsed="false">
      <c r="A1" s="2" t="s">
        <v>75</v>
      </c>
    </row>
    <row r="3" customFormat="false" ht="15" hidden="false" customHeight="true" outlineLevel="0" collapsed="false">
      <c r="A3" s="11"/>
      <c r="B3" s="12" t="s">
        <v>76</v>
      </c>
      <c r="C3" s="12" t="s">
        <v>77</v>
      </c>
      <c r="D3" s="12" t="s">
        <v>78</v>
      </c>
      <c r="E3" s="12" t="s">
        <v>79</v>
      </c>
      <c r="F3" s="12" t="s">
        <v>80</v>
      </c>
      <c r="G3" s="12" t="s">
        <v>81</v>
      </c>
      <c r="H3" s="12" t="s">
        <v>82</v>
      </c>
      <c r="I3" s="12" t="s">
        <v>83</v>
      </c>
      <c r="J3" s="12" t="s">
        <v>84</v>
      </c>
      <c r="K3" s="12" t="s">
        <v>85</v>
      </c>
      <c r="L3" s="12" t="s">
        <v>86</v>
      </c>
      <c r="M3" s="12" t="s">
        <v>87</v>
      </c>
      <c r="N3" s="12" t="s">
        <v>88</v>
      </c>
      <c r="O3" s="12" t="s">
        <v>89</v>
      </c>
      <c r="P3" s="12" t="s">
        <v>90</v>
      </c>
      <c r="Q3" s="12" t="s">
        <v>91</v>
      </c>
      <c r="R3" s="12" t="s">
        <v>92</v>
      </c>
      <c r="S3" s="12" t="s">
        <v>93</v>
      </c>
      <c r="T3" s="12" t="s">
        <v>94</v>
      </c>
      <c r="U3" s="12" t="s">
        <v>95</v>
      </c>
      <c r="V3" s="12" t="s">
        <v>96</v>
      </c>
      <c r="W3" s="12" t="s">
        <v>97</v>
      </c>
      <c r="X3" s="12" t="s">
        <v>98</v>
      </c>
      <c r="Y3" s="12" t="s">
        <v>99</v>
      </c>
    </row>
    <row r="4" customFormat="false" ht="15" hidden="false" customHeight="true" outlineLevel="0" collapsed="false">
      <c r="A4" s="13" t="s">
        <v>100</v>
      </c>
    </row>
    <row r="5" customFormat="false" ht="15" hidden="false" customHeight="true" outlineLevel="0" collapsed="false">
      <c r="A5" s="14" t="s">
        <v>101</v>
      </c>
      <c r="B5" s="15" t="n">
        <v>15</v>
      </c>
      <c r="C5" s="15" t="n">
        <v>15</v>
      </c>
      <c r="D5" s="15" t="n">
        <v>15</v>
      </c>
      <c r="E5" s="15" t="n">
        <v>40</v>
      </c>
      <c r="F5" s="15" t="n">
        <v>40</v>
      </c>
      <c r="G5" s="15" t="n">
        <v>40</v>
      </c>
      <c r="H5" s="15" t="n">
        <v>75</v>
      </c>
      <c r="I5" s="15" t="n">
        <v>75</v>
      </c>
      <c r="J5" s="15" t="n">
        <v>75</v>
      </c>
      <c r="K5" s="15" t="n">
        <v>75</v>
      </c>
      <c r="L5" s="15" t="n">
        <v>75</v>
      </c>
      <c r="M5" s="15" t="n">
        <v>75</v>
      </c>
      <c r="N5" s="15" t="n">
        <v>125</v>
      </c>
      <c r="O5" s="15" t="n">
        <v>125</v>
      </c>
      <c r="P5" s="15" t="n">
        <v>125</v>
      </c>
      <c r="Q5" s="15" t="n">
        <v>125</v>
      </c>
      <c r="R5" s="15" t="n">
        <v>125</v>
      </c>
      <c r="S5" s="15" t="n">
        <v>125</v>
      </c>
      <c r="T5" s="15" t="n">
        <v>175</v>
      </c>
      <c r="U5" s="15" t="n">
        <v>175</v>
      </c>
      <c r="V5" s="15" t="n">
        <v>175</v>
      </c>
      <c r="W5" s="15" t="n">
        <v>175</v>
      </c>
      <c r="X5" s="15" t="n">
        <v>175</v>
      </c>
      <c r="Y5" s="15" t="n">
        <v>175</v>
      </c>
    </row>
    <row r="6" customFormat="false" ht="15" hidden="false" customHeight="true" outlineLevel="0" collapsed="false">
      <c r="A6" s="14" t="s">
        <v>102</v>
      </c>
      <c r="B6" s="16" t="n">
        <v>0</v>
      </c>
      <c r="C6" s="16" t="n">
        <f aca="false">ROUND(B7*0.005,0)</f>
        <v>0</v>
      </c>
      <c r="D6" s="16" t="n">
        <f aca="false">ROUND(C7*0.005,0)</f>
        <v>0</v>
      </c>
      <c r="E6" s="16" t="n">
        <f aca="false">ROUND(D7*0.005,0)</f>
        <v>0</v>
      </c>
      <c r="F6" s="16" t="n">
        <f aca="false">ROUND(E7*0.005,0)</f>
        <v>0</v>
      </c>
      <c r="G6" s="16" t="n">
        <f aca="false">ROUND(F7*0.005,0)</f>
        <v>1</v>
      </c>
      <c r="H6" s="16" t="n">
        <f aca="false">ROUND(G7*0.005,0)</f>
        <v>1</v>
      </c>
      <c r="I6" s="16" t="n">
        <f aca="false">ROUND(H7*0.005,0)</f>
        <v>1</v>
      </c>
      <c r="J6" s="16" t="n">
        <f aca="false">ROUND(I7*0.005,0)</f>
        <v>2</v>
      </c>
      <c r="K6" s="16" t="n">
        <f aca="false">ROUND(J7*0.005,0)</f>
        <v>2</v>
      </c>
      <c r="L6" s="16" t="n">
        <f aca="false">ROUND(K7*0.005,0)</f>
        <v>2</v>
      </c>
      <c r="M6" s="16" t="n">
        <f aca="false">ROUND(L7*0.005,0)</f>
        <v>3</v>
      </c>
      <c r="N6" s="16" t="n">
        <f aca="false">ROUND(M7*0.005,0)</f>
        <v>3</v>
      </c>
      <c r="O6" s="16" t="n">
        <f aca="false">ROUND(N7*0.005,0)</f>
        <v>4</v>
      </c>
      <c r="P6" s="16" t="n">
        <f aca="false">ROUND(O7*0.005,0)</f>
        <v>4</v>
      </c>
      <c r="Q6" s="16" t="n">
        <f aca="false">ROUND(P7*0.005,0)</f>
        <v>5</v>
      </c>
      <c r="R6" s="16" t="n">
        <f aca="false">ROUND(Q7*0.005,0)</f>
        <v>5</v>
      </c>
      <c r="S6" s="16" t="n">
        <f aca="false">ROUND(R7*0.005,0)</f>
        <v>6</v>
      </c>
      <c r="T6" s="16" t="n">
        <f aca="false">ROUND(S7*0.005,0)</f>
        <v>7</v>
      </c>
      <c r="U6" s="16" t="n">
        <f aca="false">ROUND(T7*0.005,0)</f>
        <v>7</v>
      </c>
      <c r="V6" s="16" t="n">
        <f aca="false">ROUND(U7*0.005,0)</f>
        <v>8</v>
      </c>
      <c r="W6" s="16" t="n">
        <f aca="false">ROUND(V7*0.005,0)</f>
        <v>9</v>
      </c>
      <c r="X6" s="16" t="n">
        <f aca="false">ROUND(W7*0.005,0)</f>
        <v>10</v>
      </c>
      <c r="Y6" s="16" t="n">
        <f aca="false">ROUND(X7*0.005,0)</f>
        <v>11</v>
      </c>
    </row>
    <row r="7" customFormat="false" ht="15" hidden="false" customHeight="true" outlineLevel="0" collapsed="false">
      <c r="A7" s="14" t="s">
        <v>103</v>
      </c>
      <c r="B7" s="17" t="n">
        <f aca="false">B5-B6</f>
        <v>15</v>
      </c>
      <c r="C7" s="17" t="n">
        <f aca="false">B7+C5-C6</f>
        <v>30</v>
      </c>
      <c r="D7" s="17" t="n">
        <f aca="false">C7+D5-D6</f>
        <v>45</v>
      </c>
      <c r="E7" s="17" t="n">
        <f aca="false">D7+E5-E6</f>
        <v>85</v>
      </c>
      <c r="F7" s="17" t="n">
        <f aca="false">E7+F5-F6</f>
        <v>125</v>
      </c>
      <c r="G7" s="17" t="n">
        <f aca="false">F7+G5-G6</f>
        <v>164</v>
      </c>
      <c r="H7" s="17" t="n">
        <f aca="false">G7+H5-H6</f>
        <v>238</v>
      </c>
      <c r="I7" s="17" t="n">
        <f aca="false">H7+I5-I6</f>
        <v>312</v>
      </c>
      <c r="J7" s="17" t="n">
        <f aca="false">I7+J5-J6</f>
        <v>385</v>
      </c>
      <c r="K7" s="17" t="n">
        <f aca="false">J7+K5-K6</f>
        <v>458</v>
      </c>
      <c r="L7" s="17" t="n">
        <f aca="false">K7+L5-L6</f>
        <v>531</v>
      </c>
      <c r="M7" s="17" t="n">
        <f aca="false">L7+M5-M6</f>
        <v>603</v>
      </c>
      <c r="N7" s="17" t="n">
        <f aca="false">M7+N5-N6</f>
        <v>725</v>
      </c>
      <c r="O7" s="17" t="n">
        <f aca="false">N7+O5-O6</f>
        <v>846</v>
      </c>
      <c r="P7" s="17" t="n">
        <f aca="false">O7+P5-P6</f>
        <v>967</v>
      </c>
      <c r="Q7" s="17" t="n">
        <f aca="false">P7+Q5-Q6</f>
        <v>1087</v>
      </c>
      <c r="R7" s="17" t="n">
        <f aca="false">Q7+R5-R6</f>
        <v>1207</v>
      </c>
      <c r="S7" s="17" t="n">
        <f aca="false">R7+S5-S6</f>
        <v>1326</v>
      </c>
      <c r="T7" s="17" t="n">
        <f aca="false">S7+T5-T6</f>
        <v>1494</v>
      </c>
      <c r="U7" s="17" t="n">
        <f aca="false">T7+U5-U6</f>
        <v>1662</v>
      </c>
      <c r="V7" s="17" t="n">
        <f aca="false">U7+V5-V6</f>
        <v>1829</v>
      </c>
      <c r="W7" s="17" t="n">
        <f aca="false">V7+W5-W6</f>
        <v>1995</v>
      </c>
      <c r="X7" s="17" t="n">
        <f aca="false">W7+X5-X6</f>
        <v>2160</v>
      </c>
      <c r="Y7" s="17" t="n">
        <f aca="false">X7+Y5-Y6</f>
        <v>2324</v>
      </c>
    </row>
    <row r="8" customFormat="false" ht="15" hidden="false" customHeight="true" outlineLevel="0" collapsed="false">
      <c r="A8" s="14" t="s">
        <v>104</v>
      </c>
      <c r="B8" s="18" t="n">
        <f aca="false">ROUND(B7*0.3*79/12,0)</f>
        <v>30</v>
      </c>
      <c r="C8" s="18" t="n">
        <f aca="false">ROUND(C7*0.3*79/12,0)</f>
        <v>59</v>
      </c>
      <c r="D8" s="18" t="n">
        <f aca="false">ROUND(D7*0.3*79/12,0)</f>
        <v>89</v>
      </c>
      <c r="E8" s="18" t="n">
        <f aca="false">ROUND(E7*0.3*79/12,0)</f>
        <v>168</v>
      </c>
      <c r="F8" s="18" t="n">
        <f aca="false">ROUND(F7*0.3*79/12,0)</f>
        <v>247</v>
      </c>
      <c r="G8" s="18" t="n">
        <f aca="false">ROUND(G7*0.3*79/12,0)</f>
        <v>324</v>
      </c>
      <c r="H8" s="18" t="n">
        <f aca="false">ROUND(H7*0.3*79/12,0)</f>
        <v>470</v>
      </c>
      <c r="I8" s="18" t="n">
        <f aca="false">ROUND(I7*0.3*79/12,0)</f>
        <v>616</v>
      </c>
      <c r="J8" s="18" t="n">
        <f aca="false">ROUND(J7*0.3*79/12,0)</f>
        <v>760</v>
      </c>
      <c r="K8" s="18" t="n">
        <f aca="false">ROUND(K7*0.3*79/12,0)</f>
        <v>905</v>
      </c>
      <c r="L8" s="18" t="n">
        <f aca="false">ROUND(L7*0.3*79/12,0)</f>
        <v>1049</v>
      </c>
      <c r="M8" s="18" t="n">
        <f aca="false">ROUND(M7*0.3*79/12,0)</f>
        <v>1191</v>
      </c>
      <c r="N8" s="18" t="n">
        <f aca="false">ROUND(N7*0.3*79/12,0)</f>
        <v>1432</v>
      </c>
      <c r="O8" s="18" t="n">
        <f aca="false">ROUND(O7*0.3*79/12,0)</f>
        <v>1671</v>
      </c>
      <c r="P8" s="18" t="n">
        <f aca="false">ROUND(P7*0.3*79/12,0)</f>
        <v>1910</v>
      </c>
      <c r="Q8" s="18" t="n">
        <f aca="false">ROUND(Q7*0.3*79/12,0)</f>
        <v>2147</v>
      </c>
      <c r="R8" s="18" t="n">
        <f aca="false">ROUND(R7*0.3*79/12,0)</f>
        <v>2384</v>
      </c>
      <c r="S8" s="18" t="n">
        <f aca="false">ROUND(S7*0.3*79/12,0)</f>
        <v>2619</v>
      </c>
      <c r="T8" s="18" t="n">
        <f aca="false">ROUND(T7*0.3*79/12,0)</f>
        <v>2951</v>
      </c>
      <c r="U8" s="18" t="n">
        <f aca="false">ROUND(U7*0.3*79/12,0)</f>
        <v>3282</v>
      </c>
      <c r="V8" s="18" t="n">
        <f aca="false">ROUND(V7*0.3*79/12,0)</f>
        <v>3612</v>
      </c>
      <c r="W8" s="18" t="n">
        <f aca="false">ROUND(W7*0.3*79/12,0)</f>
        <v>3940</v>
      </c>
      <c r="X8" s="18" t="n">
        <f aca="false">ROUND(X7*0.3*79/12,0)</f>
        <v>4266</v>
      </c>
      <c r="Y8" s="18" t="n">
        <f aca="false">ROUND(Y7*0.3*79/12,0)</f>
        <v>4590</v>
      </c>
    </row>
    <row r="9" customFormat="false" ht="15" hidden="false" customHeight="true" outlineLevel="0" collapsed="false">
      <c r="A9" s="14" t="s">
        <v>105</v>
      </c>
      <c r="B9" s="18" t="n">
        <f aca="false">ROUND(B7*0.4*179/12,0)</f>
        <v>90</v>
      </c>
      <c r="C9" s="18" t="n">
        <f aca="false">ROUND(C7*0.4*179/12,0)</f>
        <v>179</v>
      </c>
      <c r="D9" s="18" t="n">
        <f aca="false">ROUND(D7*0.4*179/12,0)</f>
        <v>269</v>
      </c>
      <c r="E9" s="18" t="n">
        <f aca="false">ROUND(E7*0.4*179/12,0)</f>
        <v>507</v>
      </c>
      <c r="F9" s="18" t="n">
        <f aca="false">ROUND(F7*0.4*179/12,0)</f>
        <v>746</v>
      </c>
      <c r="G9" s="18" t="n">
        <f aca="false">ROUND(G7*0.4*179/12,0)</f>
        <v>979</v>
      </c>
      <c r="H9" s="18" t="n">
        <f aca="false">ROUND(H7*0.4*179/12,0)</f>
        <v>1420</v>
      </c>
      <c r="I9" s="18" t="n">
        <f aca="false">ROUND(I7*0.4*179/12,0)</f>
        <v>1862</v>
      </c>
      <c r="J9" s="18" t="n">
        <f aca="false">ROUND(J7*0.4*179/12,0)</f>
        <v>2297</v>
      </c>
      <c r="K9" s="18" t="n">
        <f aca="false">ROUND(K7*0.4*179/12,0)</f>
        <v>2733</v>
      </c>
      <c r="L9" s="18" t="n">
        <f aca="false">ROUND(L7*0.4*179/12,0)</f>
        <v>3168</v>
      </c>
      <c r="M9" s="18" t="n">
        <f aca="false">ROUND(M7*0.4*179/12,0)</f>
        <v>3598</v>
      </c>
      <c r="N9" s="18" t="n">
        <f aca="false">ROUND(N7*0.4*179/12,0)</f>
        <v>4326</v>
      </c>
      <c r="O9" s="18" t="n">
        <f aca="false">ROUND(O7*0.4*179/12,0)</f>
        <v>5048</v>
      </c>
      <c r="P9" s="18" t="n">
        <f aca="false">ROUND(P7*0.4*179/12,0)</f>
        <v>5770</v>
      </c>
      <c r="Q9" s="18" t="n">
        <f aca="false">ROUND(Q7*0.4*179/12,0)</f>
        <v>6486</v>
      </c>
      <c r="R9" s="18" t="n">
        <f aca="false">ROUND(R7*0.4*179/12,0)</f>
        <v>7202</v>
      </c>
      <c r="S9" s="18" t="n">
        <f aca="false">ROUND(S7*0.4*179/12,0)</f>
        <v>7912</v>
      </c>
      <c r="T9" s="18" t="n">
        <f aca="false">ROUND(T7*0.4*179/12,0)</f>
        <v>8914</v>
      </c>
      <c r="U9" s="18" t="n">
        <f aca="false">ROUND(U7*0.4*179/12,0)</f>
        <v>9917</v>
      </c>
      <c r="V9" s="18" t="n">
        <f aca="false">ROUND(V7*0.4*179/12,0)</f>
        <v>10913</v>
      </c>
      <c r="W9" s="18" t="n">
        <f aca="false">ROUND(W7*0.4*179/12,0)</f>
        <v>11904</v>
      </c>
      <c r="X9" s="18" t="n">
        <f aca="false">ROUND(X7*0.4*179/12,0)</f>
        <v>12888</v>
      </c>
      <c r="Y9" s="18" t="n">
        <f aca="false">ROUND(Y7*0.4*179/12,0)</f>
        <v>13867</v>
      </c>
    </row>
    <row r="10" customFormat="false" ht="15" hidden="false" customHeight="true" outlineLevel="0" collapsed="false">
      <c r="A10" s="14" t="s">
        <v>106</v>
      </c>
      <c r="B10" s="18" t="n">
        <f aca="false">ROUND(B7*0.1*299/12,0)</f>
        <v>37</v>
      </c>
      <c r="C10" s="18" t="n">
        <f aca="false">ROUND(C7*0.1*299/12,0)</f>
        <v>75</v>
      </c>
      <c r="D10" s="18" t="n">
        <f aca="false">ROUND(D7*0.1*299/12,0)</f>
        <v>112</v>
      </c>
      <c r="E10" s="18" t="n">
        <f aca="false">ROUND(E7*0.1*299/12,0)</f>
        <v>212</v>
      </c>
      <c r="F10" s="18" t="n">
        <f aca="false">ROUND(F7*0.1*299/12,0)</f>
        <v>311</v>
      </c>
      <c r="G10" s="18" t="n">
        <f aca="false">ROUND(G7*0.1*299/12,0)</f>
        <v>409</v>
      </c>
      <c r="H10" s="18" t="n">
        <f aca="false">ROUND(H7*0.1*299/12,0)</f>
        <v>593</v>
      </c>
      <c r="I10" s="18" t="n">
        <f aca="false">ROUND(I7*0.1*299/12,0)</f>
        <v>777</v>
      </c>
      <c r="J10" s="18" t="n">
        <f aca="false">ROUND(J7*0.1*299/12,0)</f>
        <v>959</v>
      </c>
      <c r="K10" s="18" t="n">
        <f aca="false">ROUND(K7*0.1*299/12,0)</f>
        <v>1141</v>
      </c>
      <c r="L10" s="18" t="n">
        <f aca="false">ROUND(L7*0.1*299/12,0)</f>
        <v>1323</v>
      </c>
      <c r="M10" s="18" t="n">
        <f aca="false">ROUND(M7*0.1*299/12,0)</f>
        <v>1502</v>
      </c>
      <c r="N10" s="18" t="n">
        <f aca="false">ROUND(N7*0.1*299/12,0)</f>
        <v>1806</v>
      </c>
      <c r="O10" s="18" t="n">
        <f aca="false">ROUND(O7*0.1*299/12,0)</f>
        <v>2108</v>
      </c>
      <c r="P10" s="18" t="n">
        <f aca="false">ROUND(P7*0.1*299/12,0)</f>
        <v>2409</v>
      </c>
      <c r="Q10" s="18" t="n">
        <f aca="false">ROUND(Q7*0.1*299/12,0)</f>
        <v>2708</v>
      </c>
      <c r="R10" s="18" t="n">
        <f aca="false">ROUND(R7*0.1*299/12,0)</f>
        <v>3007</v>
      </c>
      <c r="S10" s="18" t="n">
        <f aca="false">ROUND(S7*0.1*299/12,0)</f>
        <v>3304</v>
      </c>
      <c r="T10" s="18" t="n">
        <f aca="false">ROUND(T7*0.1*299/12,0)</f>
        <v>3723</v>
      </c>
      <c r="U10" s="18" t="n">
        <f aca="false">ROUND(U7*0.1*299/12,0)</f>
        <v>4141</v>
      </c>
      <c r="V10" s="18" t="n">
        <f aca="false">ROUND(V7*0.1*299/12,0)</f>
        <v>4557</v>
      </c>
      <c r="W10" s="18" t="n">
        <f aca="false">ROUND(W7*0.1*299/12,0)</f>
        <v>4971</v>
      </c>
      <c r="X10" s="18" t="n">
        <f aca="false">ROUND(X7*0.1*299/12,0)</f>
        <v>5382</v>
      </c>
      <c r="Y10" s="18" t="n">
        <f aca="false">ROUND(Y7*0.1*299/12,0)</f>
        <v>5791</v>
      </c>
    </row>
    <row r="11" customFormat="false" ht="15" hidden="false" customHeight="true" outlineLevel="0" collapsed="false">
      <c r="A11" s="14" t="s">
        <v>107</v>
      </c>
      <c r="B11" s="18" t="n">
        <f aca="false">ROUND(B7*0.2*99/12,0)</f>
        <v>25</v>
      </c>
      <c r="C11" s="18" t="n">
        <f aca="false">ROUND(C7*0.2*99/12,0)</f>
        <v>50</v>
      </c>
      <c r="D11" s="18" t="n">
        <f aca="false">ROUND(D7*0.2*99/12,0)</f>
        <v>74</v>
      </c>
      <c r="E11" s="18" t="n">
        <f aca="false">ROUND(E7*0.2*99/12,0)</f>
        <v>140</v>
      </c>
      <c r="F11" s="18" t="n">
        <f aca="false">ROUND(F7*0.2*99/12,0)</f>
        <v>206</v>
      </c>
      <c r="G11" s="18" t="n">
        <f aca="false">ROUND(G7*0.2*99/12,0)</f>
        <v>271</v>
      </c>
      <c r="H11" s="18" t="n">
        <f aca="false">ROUND(H7*0.2*99/12,0)</f>
        <v>393</v>
      </c>
      <c r="I11" s="18" t="n">
        <f aca="false">ROUND(I7*0.2*99/12,0)</f>
        <v>515</v>
      </c>
      <c r="J11" s="18" t="n">
        <f aca="false">ROUND(J7*0.2*99/12,0)</f>
        <v>635</v>
      </c>
      <c r="K11" s="18" t="n">
        <f aca="false">ROUND(K7*0.2*99/12,0)</f>
        <v>756</v>
      </c>
      <c r="L11" s="18" t="n">
        <f aca="false">ROUND(L7*0.2*99/12,0)</f>
        <v>876</v>
      </c>
      <c r="M11" s="18" t="n">
        <f aca="false">ROUND(M7*0.2*99/12,0)</f>
        <v>995</v>
      </c>
      <c r="N11" s="18" t="n">
        <f aca="false">ROUND(N7*0.2*99/12,0)</f>
        <v>1196</v>
      </c>
      <c r="O11" s="18" t="n">
        <f aca="false">ROUND(O7*0.2*99/12,0)</f>
        <v>1396</v>
      </c>
      <c r="P11" s="18" t="n">
        <f aca="false">ROUND(P7*0.2*99/12,0)</f>
        <v>1596</v>
      </c>
      <c r="Q11" s="18" t="n">
        <f aca="false">ROUND(Q7*0.2*99/12,0)</f>
        <v>1794</v>
      </c>
      <c r="R11" s="18" t="n">
        <f aca="false">ROUND(R7*0.2*99/12,0)</f>
        <v>1992</v>
      </c>
      <c r="S11" s="18" t="n">
        <f aca="false">ROUND(S7*0.2*99/12,0)</f>
        <v>2188</v>
      </c>
      <c r="T11" s="18" t="n">
        <f aca="false">ROUND(T7*0.2*99/12,0)</f>
        <v>2465</v>
      </c>
      <c r="U11" s="18" t="n">
        <f aca="false">ROUND(U7*0.2*99/12,0)</f>
        <v>2742</v>
      </c>
      <c r="V11" s="18" t="n">
        <f aca="false">ROUND(V7*0.2*99/12,0)</f>
        <v>3018</v>
      </c>
      <c r="W11" s="18" t="n">
        <f aca="false">ROUND(W7*0.2*99/12,0)</f>
        <v>3292</v>
      </c>
      <c r="X11" s="18" t="n">
        <f aca="false">ROUND(X7*0.2*99/12,0)</f>
        <v>3564</v>
      </c>
      <c r="Y11" s="18" t="n">
        <f aca="false">ROUND(Y7*0.2*99/12,0)</f>
        <v>3835</v>
      </c>
    </row>
    <row r="12" customFormat="false" ht="15" hidden="false" customHeight="true" outlineLevel="0" collapsed="false">
      <c r="A12" s="14" t="s">
        <v>108</v>
      </c>
      <c r="B12" s="18" t="n">
        <f aca="false">ROUND(B7*0.25*75/12,0)</f>
        <v>23</v>
      </c>
      <c r="C12" s="18" t="n">
        <f aca="false">ROUND(C7*0.25*75/12,0)</f>
        <v>47</v>
      </c>
      <c r="D12" s="18" t="n">
        <f aca="false">ROUND(D7*0.25*75/12,0)</f>
        <v>70</v>
      </c>
      <c r="E12" s="18" t="n">
        <f aca="false">ROUND(E7*0.25*75/12,0)</f>
        <v>133</v>
      </c>
      <c r="F12" s="18" t="n">
        <f aca="false">ROUND(F7*0.25*75/12,0)</f>
        <v>195</v>
      </c>
      <c r="G12" s="18" t="n">
        <f aca="false">ROUND(G7*0.25*75/12,0)</f>
        <v>256</v>
      </c>
      <c r="H12" s="18" t="n">
        <f aca="false">ROUND(H7*0.25*75/12,0)</f>
        <v>372</v>
      </c>
      <c r="I12" s="18" t="n">
        <f aca="false">ROUND(I7*0.25*75/12,0)</f>
        <v>488</v>
      </c>
      <c r="J12" s="18" t="n">
        <f aca="false">ROUND(J7*0.25*75/12,0)</f>
        <v>602</v>
      </c>
      <c r="K12" s="18" t="n">
        <f aca="false">ROUND(K7*0.25*75/12,0)</f>
        <v>716</v>
      </c>
      <c r="L12" s="18" t="n">
        <f aca="false">ROUND(L7*0.25*75/12,0)</f>
        <v>830</v>
      </c>
      <c r="M12" s="18" t="n">
        <f aca="false">ROUND(M7*0.25*75/12,0)</f>
        <v>942</v>
      </c>
      <c r="N12" s="18" t="n">
        <f aca="false">ROUND(N7*0.25*75/12,0)</f>
        <v>1133</v>
      </c>
      <c r="O12" s="18" t="n">
        <f aca="false">ROUND(O7*0.25*75/12,0)</f>
        <v>1322</v>
      </c>
      <c r="P12" s="18" t="n">
        <f aca="false">ROUND(P7*0.25*75/12,0)</f>
        <v>1511</v>
      </c>
      <c r="Q12" s="18" t="n">
        <f aca="false">ROUND(Q7*0.25*75/12,0)</f>
        <v>1698</v>
      </c>
      <c r="R12" s="18" t="n">
        <f aca="false">ROUND(R7*0.25*75/12,0)</f>
        <v>1886</v>
      </c>
      <c r="S12" s="18" t="n">
        <f aca="false">ROUND(S7*0.25*75/12,0)</f>
        <v>2072</v>
      </c>
      <c r="T12" s="18" t="n">
        <f aca="false">ROUND(T7*0.25*75/12,0)</f>
        <v>2334</v>
      </c>
      <c r="U12" s="18" t="n">
        <f aca="false">ROUND(U7*0.25*75/12,0)</f>
        <v>2597</v>
      </c>
      <c r="V12" s="18" t="n">
        <f aca="false">ROUND(V7*0.25*75/12,0)</f>
        <v>2858</v>
      </c>
      <c r="W12" s="18" t="n">
        <f aca="false">ROUND(W7*0.25*75/12,0)</f>
        <v>3117</v>
      </c>
      <c r="X12" s="18" t="n">
        <f aca="false">ROUND(X7*0.25*75/12,0)</f>
        <v>3375</v>
      </c>
      <c r="Y12" s="18" t="n">
        <f aca="false">ROUND(Y7*0.25*75/12,0)</f>
        <v>3631</v>
      </c>
    </row>
    <row r="13" customFormat="false" ht="15" hidden="false" customHeight="true" outlineLevel="0" collapsed="false">
      <c r="A13" s="13" t="s">
        <v>109</v>
      </c>
      <c r="B13" s="19" t="n">
        <f aca="false">SUM(B8:B12)</f>
        <v>205</v>
      </c>
      <c r="C13" s="19" t="n">
        <f aca="false">SUM(C8:C12)</f>
        <v>410</v>
      </c>
      <c r="D13" s="19" t="n">
        <f aca="false">SUM(D8:D12)</f>
        <v>614</v>
      </c>
      <c r="E13" s="19" t="n">
        <f aca="false">SUM(E8:E12)</f>
        <v>1160</v>
      </c>
      <c r="F13" s="19" t="n">
        <f aca="false">SUM(F8:F12)</f>
        <v>1705</v>
      </c>
      <c r="G13" s="19" t="n">
        <f aca="false">SUM(G8:G12)</f>
        <v>2239</v>
      </c>
      <c r="H13" s="19" t="n">
        <f aca="false">SUM(H8:H12)</f>
        <v>3248</v>
      </c>
      <c r="I13" s="19" t="n">
        <f aca="false">SUM(I8:I12)</f>
        <v>4258</v>
      </c>
      <c r="J13" s="19" t="n">
        <f aca="false">SUM(J8:J12)</f>
        <v>5253</v>
      </c>
      <c r="K13" s="19" t="n">
        <f aca="false">SUM(K8:K12)</f>
        <v>6251</v>
      </c>
      <c r="L13" s="19" t="n">
        <f aca="false">SUM(L8:L12)</f>
        <v>7246</v>
      </c>
      <c r="M13" s="19" t="n">
        <f aca="false">SUM(M8:M12)</f>
        <v>8228</v>
      </c>
      <c r="N13" s="19" t="n">
        <f aca="false">SUM(N8:N12)</f>
        <v>9893</v>
      </c>
      <c r="O13" s="19" t="n">
        <f aca="false">SUM(O8:O12)</f>
        <v>11545</v>
      </c>
      <c r="P13" s="19" t="n">
        <f aca="false">SUM(P8:P12)</f>
        <v>13196</v>
      </c>
      <c r="Q13" s="19" t="n">
        <f aca="false">SUM(Q8:Q12)</f>
        <v>14833</v>
      </c>
      <c r="R13" s="19" t="n">
        <f aca="false">SUM(R8:R12)</f>
        <v>16471</v>
      </c>
      <c r="S13" s="19" t="n">
        <f aca="false">SUM(S8:S12)</f>
        <v>18095</v>
      </c>
      <c r="T13" s="19" t="n">
        <f aca="false">SUM(T8:T12)</f>
        <v>20387</v>
      </c>
      <c r="U13" s="19" t="n">
        <f aca="false">SUM(U8:U12)</f>
        <v>22679</v>
      </c>
      <c r="V13" s="19" t="n">
        <f aca="false">SUM(V8:V12)</f>
        <v>24958</v>
      </c>
      <c r="W13" s="19" t="n">
        <f aca="false">SUM(W8:W12)</f>
        <v>27224</v>
      </c>
      <c r="X13" s="19" t="n">
        <f aca="false">SUM(X8:X12)</f>
        <v>29475</v>
      </c>
      <c r="Y13" s="19" t="n">
        <f aca="false">SUM(Y8:Y12)</f>
        <v>31714</v>
      </c>
    </row>
    <row r="14" customFormat="false" ht="15" hidden="false" customHeight="true" outlineLevel="0" collapsed="false">
      <c r="A14" s="14"/>
    </row>
    <row r="15" customFormat="false" ht="15" hidden="false" customHeight="true" outlineLevel="0" collapsed="false">
      <c r="A15" s="13" t="s">
        <v>110</v>
      </c>
    </row>
    <row r="16" customFormat="false" ht="15" hidden="false" customHeight="true" outlineLevel="0" collapsed="false">
      <c r="A16" s="14" t="s">
        <v>111</v>
      </c>
      <c r="B16" s="18" t="n">
        <v>200</v>
      </c>
      <c r="C16" s="18" t="n">
        <v>200</v>
      </c>
      <c r="D16" s="18" t="n">
        <v>200</v>
      </c>
      <c r="E16" s="18" t="n">
        <v>200</v>
      </c>
      <c r="F16" s="18" t="n">
        <v>200</v>
      </c>
      <c r="G16" s="18" t="n">
        <v>200</v>
      </c>
      <c r="H16" s="18" t="n">
        <v>200</v>
      </c>
      <c r="I16" s="18" t="n">
        <v>200</v>
      </c>
      <c r="J16" s="18" t="n">
        <v>200</v>
      </c>
      <c r="K16" s="18" t="n">
        <v>200</v>
      </c>
      <c r="L16" s="18" t="n">
        <v>200</v>
      </c>
      <c r="M16" s="18" t="n">
        <v>200</v>
      </c>
      <c r="N16" s="18" t="n">
        <v>200</v>
      </c>
      <c r="O16" s="18" t="n">
        <v>200</v>
      </c>
      <c r="P16" s="18" t="n">
        <v>200</v>
      </c>
      <c r="Q16" s="18" t="n">
        <v>200</v>
      </c>
      <c r="R16" s="18" t="n">
        <v>200</v>
      </c>
      <c r="S16" s="18" t="n">
        <v>200</v>
      </c>
      <c r="T16" s="18" t="n">
        <v>200</v>
      </c>
      <c r="U16" s="18" t="n">
        <v>200</v>
      </c>
      <c r="V16" s="18" t="n">
        <v>200</v>
      </c>
      <c r="W16" s="18" t="n">
        <v>200</v>
      </c>
      <c r="X16" s="18" t="n">
        <v>200</v>
      </c>
      <c r="Y16" s="18" t="n">
        <v>200</v>
      </c>
    </row>
    <row r="17" customFormat="false" ht="15" hidden="false" customHeight="true" outlineLevel="0" collapsed="false">
      <c r="A17" s="14" t="s">
        <v>48</v>
      </c>
      <c r="B17" s="18" t="n">
        <v>300</v>
      </c>
      <c r="C17" s="18" t="n">
        <v>300</v>
      </c>
      <c r="D17" s="18" t="n">
        <v>300</v>
      </c>
      <c r="E17" s="18" t="n">
        <v>500</v>
      </c>
      <c r="F17" s="18" t="n">
        <v>500</v>
      </c>
      <c r="G17" s="18" t="n">
        <v>500</v>
      </c>
      <c r="H17" s="18" t="n">
        <v>500</v>
      </c>
      <c r="I17" s="18" t="n">
        <v>500</v>
      </c>
      <c r="J17" s="18" t="n">
        <v>500</v>
      </c>
      <c r="K17" s="18" t="n">
        <v>500</v>
      </c>
      <c r="L17" s="18" t="n">
        <v>500</v>
      </c>
      <c r="M17" s="18" t="n">
        <v>500</v>
      </c>
      <c r="N17" s="18" t="n">
        <v>750</v>
      </c>
      <c r="O17" s="18" t="n">
        <v>750</v>
      </c>
      <c r="P17" s="18" t="n">
        <v>750</v>
      </c>
      <c r="Q17" s="18" t="n">
        <v>750</v>
      </c>
      <c r="R17" s="18" t="n">
        <v>750</v>
      </c>
      <c r="S17" s="18" t="n">
        <v>750</v>
      </c>
      <c r="T17" s="18" t="n">
        <v>750</v>
      </c>
      <c r="U17" s="18" t="n">
        <v>750</v>
      </c>
      <c r="V17" s="18" t="n">
        <v>750</v>
      </c>
      <c r="W17" s="18" t="n">
        <v>750</v>
      </c>
      <c r="X17" s="18" t="n">
        <v>750</v>
      </c>
      <c r="Y17" s="18" t="n">
        <v>750</v>
      </c>
    </row>
    <row r="18" customFormat="false" ht="15" hidden="false" customHeight="true" outlineLevel="0" collapsed="false">
      <c r="A18" s="14" t="s">
        <v>112</v>
      </c>
      <c r="B18" s="18" t="n">
        <f aca="false">ROUND(B7*0.15,0)</f>
        <v>2</v>
      </c>
      <c r="C18" s="18" t="n">
        <f aca="false">ROUND(C7*0.15,0)</f>
        <v>5</v>
      </c>
      <c r="D18" s="18" t="n">
        <f aca="false">ROUND(D7*0.15,0)</f>
        <v>7</v>
      </c>
      <c r="E18" s="18" t="n">
        <f aca="false">ROUND(E7*0.15,0)</f>
        <v>13</v>
      </c>
      <c r="F18" s="18" t="n">
        <f aca="false">ROUND(F7*0.15,0)</f>
        <v>19</v>
      </c>
      <c r="G18" s="18" t="n">
        <f aca="false">ROUND(G7*0.15,0)</f>
        <v>25</v>
      </c>
      <c r="H18" s="18" t="n">
        <f aca="false">ROUND(H7*0.15,0)</f>
        <v>36</v>
      </c>
      <c r="I18" s="18" t="n">
        <f aca="false">ROUND(I7*0.15,0)</f>
        <v>47</v>
      </c>
      <c r="J18" s="18" t="n">
        <f aca="false">ROUND(J7*0.15,0)</f>
        <v>58</v>
      </c>
      <c r="K18" s="18" t="n">
        <f aca="false">ROUND(K7*0.15,0)</f>
        <v>69</v>
      </c>
      <c r="L18" s="18" t="n">
        <f aca="false">ROUND(L7*0.15,0)</f>
        <v>80</v>
      </c>
      <c r="M18" s="18" t="n">
        <f aca="false">ROUND(M7*0.15,0)</f>
        <v>90</v>
      </c>
      <c r="N18" s="18" t="n">
        <f aca="false">ROUND(N7*0.15,0)</f>
        <v>109</v>
      </c>
      <c r="O18" s="18" t="n">
        <f aca="false">ROUND(O7*0.15,0)</f>
        <v>127</v>
      </c>
      <c r="P18" s="18" t="n">
        <f aca="false">ROUND(P7*0.15,0)</f>
        <v>145</v>
      </c>
      <c r="Q18" s="18" t="n">
        <f aca="false">ROUND(Q7*0.15,0)</f>
        <v>163</v>
      </c>
      <c r="R18" s="18" t="n">
        <f aca="false">ROUND(R7*0.15,0)</f>
        <v>181</v>
      </c>
      <c r="S18" s="18" t="n">
        <f aca="false">ROUND(S7*0.15,0)</f>
        <v>199</v>
      </c>
      <c r="T18" s="18" t="n">
        <f aca="false">ROUND(T7*0.15,0)</f>
        <v>224</v>
      </c>
      <c r="U18" s="18" t="n">
        <f aca="false">ROUND(U7*0.15,0)</f>
        <v>249</v>
      </c>
      <c r="V18" s="18" t="n">
        <f aca="false">ROUND(V7*0.15,0)</f>
        <v>274</v>
      </c>
      <c r="W18" s="18" t="n">
        <f aca="false">ROUND(W7*0.15,0)</f>
        <v>299</v>
      </c>
      <c r="X18" s="18" t="n">
        <f aca="false">ROUND(X7*0.15,0)</f>
        <v>324</v>
      </c>
      <c r="Y18" s="18" t="n">
        <f aca="false">ROUND(Y7*0.15,0)</f>
        <v>349</v>
      </c>
    </row>
    <row r="19" customFormat="false" ht="15" hidden="false" customHeight="true" outlineLevel="0" collapsed="false">
      <c r="A19" s="14" t="s">
        <v>113</v>
      </c>
      <c r="B19" s="18" t="n">
        <f aca="false">IF(B7&lt;200,0,IF(B7&lt;500,500,IF(B7&lt;1000,2000,4000)))</f>
        <v>0</v>
      </c>
      <c r="C19" s="18" t="n">
        <f aca="false">IF(C7&lt;200,0,IF(C7&lt;500,500,IF(C7&lt;1000,2000,4000)))</f>
        <v>0</v>
      </c>
      <c r="D19" s="18" t="n">
        <f aca="false">IF(D7&lt;200,0,IF(D7&lt;500,500,IF(D7&lt;1000,2000,4000)))</f>
        <v>0</v>
      </c>
      <c r="E19" s="18" t="n">
        <f aca="false">IF(E7&lt;200,0,IF(E7&lt;500,500,IF(E7&lt;1000,2000,4000)))</f>
        <v>0</v>
      </c>
      <c r="F19" s="18" t="n">
        <f aca="false">IF(F7&lt;200,0,IF(F7&lt;500,500,IF(F7&lt;1000,2000,4000)))</f>
        <v>0</v>
      </c>
      <c r="G19" s="18" t="n">
        <f aca="false">IF(G7&lt;200,0,IF(G7&lt;500,500,IF(G7&lt;1000,2000,4000)))</f>
        <v>0</v>
      </c>
      <c r="H19" s="18" t="n">
        <f aca="false">IF(H7&lt;200,0,IF(H7&lt;500,500,IF(H7&lt;1000,2000,4000)))</f>
        <v>500</v>
      </c>
      <c r="I19" s="18" t="n">
        <f aca="false">IF(I7&lt;200,0,IF(I7&lt;500,500,IF(I7&lt;1000,2000,4000)))</f>
        <v>500</v>
      </c>
      <c r="J19" s="18" t="n">
        <f aca="false">IF(J7&lt;200,0,IF(J7&lt;500,500,IF(J7&lt;1000,2000,4000)))</f>
        <v>500</v>
      </c>
      <c r="K19" s="18" t="n">
        <f aca="false">IF(K7&lt;200,0,IF(K7&lt;500,500,IF(K7&lt;1000,2000,4000)))</f>
        <v>500</v>
      </c>
      <c r="L19" s="18" t="n">
        <f aca="false">IF(L7&lt;200,0,IF(L7&lt;500,500,IF(L7&lt;1000,2000,4000)))</f>
        <v>2000</v>
      </c>
      <c r="M19" s="18" t="n">
        <f aca="false">IF(M7&lt;200,0,IF(M7&lt;500,500,IF(M7&lt;1000,2000,4000)))</f>
        <v>2000</v>
      </c>
      <c r="N19" s="18" t="n">
        <f aca="false">IF(N7&lt;200,0,IF(N7&lt;500,500,IF(N7&lt;1000,2000,4000)))</f>
        <v>2000</v>
      </c>
      <c r="O19" s="18" t="n">
        <f aca="false">IF(O7&lt;200,0,IF(O7&lt;500,500,IF(O7&lt;1000,2000,4000)))</f>
        <v>2000</v>
      </c>
      <c r="P19" s="18" t="n">
        <f aca="false">IF(P7&lt;200,0,IF(P7&lt;500,500,IF(P7&lt;1000,2000,4000)))</f>
        <v>2000</v>
      </c>
      <c r="Q19" s="18" t="n">
        <f aca="false">IF(Q7&lt;200,0,IF(Q7&lt;500,500,IF(Q7&lt;1000,2000,4000)))</f>
        <v>4000</v>
      </c>
      <c r="R19" s="18" t="n">
        <f aca="false">IF(R7&lt;200,0,IF(R7&lt;500,500,IF(R7&lt;1000,2000,4000)))</f>
        <v>4000</v>
      </c>
      <c r="S19" s="18" t="n">
        <f aca="false">IF(S7&lt;200,0,IF(S7&lt;500,500,IF(S7&lt;1000,2000,4000)))</f>
        <v>4000</v>
      </c>
      <c r="T19" s="18" t="n">
        <f aca="false">IF(T7&lt;200,0,IF(T7&lt;500,500,IF(T7&lt;1000,2000,4000)))</f>
        <v>4000</v>
      </c>
      <c r="U19" s="18" t="n">
        <f aca="false">IF(U7&lt;200,0,IF(U7&lt;500,500,IF(U7&lt;1000,2000,4000)))</f>
        <v>4000</v>
      </c>
      <c r="V19" s="18" t="n">
        <f aca="false">IF(V7&lt;200,0,IF(V7&lt;500,500,IF(V7&lt;1000,2000,4000)))</f>
        <v>4000</v>
      </c>
      <c r="W19" s="18" t="n">
        <f aca="false">IF(W7&lt;200,0,IF(W7&lt;500,500,IF(W7&lt;1000,2000,4000)))</f>
        <v>4000</v>
      </c>
      <c r="X19" s="18" t="n">
        <f aca="false">IF(X7&lt;200,0,IF(X7&lt;500,500,IF(X7&lt;1000,2000,4000)))</f>
        <v>4000</v>
      </c>
      <c r="Y19" s="18" t="n">
        <f aca="false">IF(Y7&lt;200,0,IF(Y7&lt;500,500,IF(Y7&lt;1000,2000,4000)))</f>
        <v>4000</v>
      </c>
    </row>
    <row r="20" customFormat="false" ht="15" hidden="false" customHeight="true" outlineLevel="0" collapsed="false">
      <c r="A20" s="14" t="s">
        <v>114</v>
      </c>
      <c r="B20" s="18" t="n">
        <v>65</v>
      </c>
      <c r="C20" s="18" t="n">
        <v>65</v>
      </c>
      <c r="D20" s="18" t="n">
        <v>65</v>
      </c>
      <c r="E20" s="18" t="n">
        <v>65</v>
      </c>
      <c r="F20" s="18" t="n">
        <v>65</v>
      </c>
      <c r="G20" s="18" t="n">
        <v>65</v>
      </c>
      <c r="H20" s="18" t="n">
        <v>65</v>
      </c>
      <c r="I20" s="18" t="n">
        <v>65</v>
      </c>
      <c r="J20" s="18" t="n">
        <v>65</v>
      </c>
      <c r="K20" s="18" t="n">
        <v>65</v>
      </c>
      <c r="L20" s="18" t="n">
        <v>65</v>
      </c>
      <c r="M20" s="18" t="n">
        <v>65</v>
      </c>
      <c r="N20" s="18" t="n">
        <v>65</v>
      </c>
      <c r="O20" s="18" t="n">
        <v>65</v>
      </c>
      <c r="P20" s="18" t="n">
        <v>65</v>
      </c>
      <c r="Q20" s="18" t="n">
        <v>65</v>
      </c>
      <c r="R20" s="18" t="n">
        <v>65</v>
      </c>
      <c r="S20" s="18" t="n">
        <v>65</v>
      </c>
      <c r="T20" s="18" t="n">
        <v>65</v>
      </c>
      <c r="U20" s="18" t="n">
        <v>65</v>
      </c>
      <c r="V20" s="18" t="n">
        <v>65</v>
      </c>
      <c r="W20" s="18" t="n">
        <v>65</v>
      </c>
      <c r="X20" s="18" t="n">
        <v>65</v>
      </c>
      <c r="Y20" s="18" t="n">
        <v>65</v>
      </c>
    </row>
    <row r="21" customFormat="false" ht="15" hidden="false" customHeight="true" outlineLevel="0" collapsed="false">
      <c r="A21" s="14" t="s">
        <v>56</v>
      </c>
      <c r="B21" s="18" t="n">
        <v>100</v>
      </c>
      <c r="C21" s="18" t="n">
        <v>100</v>
      </c>
      <c r="D21" s="18" t="n">
        <v>100</v>
      </c>
      <c r="E21" s="18" t="n">
        <v>100</v>
      </c>
      <c r="F21" s="18" t="n">
        <v>100</v>
      </c>
      <c r="G21" s="18" t="n">
        <v>100</v>
      </c>
      <c r="H21" s="18" t="n">
        <v>100</v>
      </c>
      <c r="I21" s="18" t="n">
        <v>100</v>
      </c>
      <c r="J21" s="18" t="n">
        <v>100</v>
      </c>
      <c r="K21" s="18" t="n">
        <v>100</v>
      </c>
      <c r="L21" s="18" t="n">
        <v>100</v>
      </c>
      <c r="M21" s="18" t="n">
        <v>100</v>
      </c>
      <c r="N21" s="18" t="n">
        <v>100</v>
      </c>
      <c r="O21" s="18" t="n">
        <v>100</v>
      </c>
      <c r="P21" s="18" t="n">
        <v>100</v>
      </c>
      <c r="Q21" s="18" t="n">
        <v>100</v>
      </c>
      <c r="R21" s="18" t="n">
        <v>100</v>
      </c>
      <c r="S21" s="18" t="n">
        <v>100</v>
      </c>
      <c r="T21" s="18" t="n">
        <v>100</v>
      </c>
      <c r="U21" s="18" t="n">
        <v>100</v>
      </c>
      <c r="V21" s="18" t="n">
        <v>100</v>
      </c>
      <c r="W21" s="18" t="n">
        <v>100</v>
      </c>
      <c r="X21" s="18" t="n">
        <v>100</v>
      </c>
      <c r="Y21" s="18" t="n">
        <v>100</v>
      </c>
    </row>
    <row r="22" customFormat="false" ht="15" hidden="false" customHeight="true" outlineLevel="0" collapsed="false">
      <c r="A22" s="14" t="s">
        <v>115</v>
      </c>
      <c r="B22" s="18" t="n">
        <f aca="false">ROUND(B13*0.03,0)</f>
        <v>6</v>
      </c>
      <c r="C22" s="18" t="n">
        <f aca="false">ROUND(C13*0.03,0)</f>
        <v>12</v>
      </c>
      <c r="D22" s="18" t="n">
        <f aca="false">ROUND(D13*0.03,0)</f>
        <v>18</v>
      </c>
      <c r="E22" s="18" t="n">
        <f aca="false">ROUND(E13*0.03,0)</f>
        <v>35</v>
      </c>
      <c r="F22" s="18" t="n">
        <f aca="false">ROUND(F13*0.03,0)</f>
        <v>51</v>
      </c>
      <c r="G22" s="18" t="n">
        <f aca="false">ROUND(G13*0.03,0)</f>
        <v>67</v>
      </c>
      <c r="H22" s="18" t="n">
        <f aca="false">ROUND(H13*0.03,0)</f>
        <v>97</v>
      </c>
      <c r="I22" s="18" t="n">
        <f aca="false">ROUND(I13*0.03,0)</f>
        <v>128</v>
      </c>
      <c r="J22" s="18" t="n">
        <f aca="false">ROUND(J13*0.03,0)</f>
        <v>158</v>
      </c>
      <c r="K22" s="18" t="n">
        <f aca="false">ROUND(K13*0.03,0)</f>
        <v>188</v>
      </c>
      <c r="L22" s="18" t="n">
        <f aca="false">ROUND(L13*0.03,0)</f>
        <v>217</v>
      </c>
      <c r="M22" s="18" t="n">
        <f aca="false">ROUND(M13*0.03,0)</f>
        <v>247</v>
      </c>
      <c r="N22" s="18" t="n">
        <f aca="false">ROUND(N13*0.03,0)</f>
        <v>297</v>
      </c>
      <c r="O22" s="18" t="n">
        <f aca="false">ROUND(O13*0.03,0)</f>
        <v>346</v>
      </c>
      <c r="P22" s="18" t="n">
        <f aca="false">ROUND(P13*0.03,0)</f>
        <v>396</v>
      </c>
      <c r="Q22" s="18" t="n">
        <f aca="false">ROUND(Q13*0.03,0)</f>
        <v>445</v>
      </c>
      <c r="R22" s="18" t="n">
        <f aca="false">ROUND(R13*0.03,0)</f>
        <v>494</v>
      </c>
      <c r="S22" s="18" t="n">
        <f aca="false">ROUND(S13*0.03,0)</f>
        <v>543</v>
      </c>
      <c r="T22" s="18" t="n">
        <f aca="false">ROUND(T13*0.03,0)</f>
        <v>612</v>
      </c>
      <c r="U22" s="18" t="n">
        <f aca="false">ROUND(U13*0.03,0)</f>
        <v>680</v>
      </c>
      <c r="V22" s="18" t="n">
        <f aca="false">ROUND(V13*0.03,0)</f>
        <v>749</v>
      </c>
      <c r="W22" s="18" t="n">
        <f aca="false">ROUND(W13*0.03,0)</f>
        <v>817</v>
      </c>
      <c r="X22" s="18" t="n">
        <f aca="false">ROUND(X13*0.03,0)</f>
        <v>884</v>
      </c>
      <c r="Y22" s="18" t="n">
        <f aca="false">ROUND(Y13*0.03,0)</f>
        <v>951</v>
      </c>
    </row>
    <row r="23" customFormat="false" ht="15" hidden="false" customHeight="true" outlineLevel="0" collapsed="false">
      <c r="A23" s="13" t="s">
        <v>116</v>
      </c>
      <c r="B23" s="19" t="n">
        <f aca="false">SUM(B16:B22)</f>
        <v>673</v>
      </c>
      <c r="C23" s="19" t="n">
        <f aca="false">SUM(C16:C22)</f>
        <v>682</v>
      </c>
      <c r="D23" s="19" t="n">
        <f aca="false">SUM(D16:D22)</f>
        <v>690</v>
      </c>
      <c r="E23" s="19" t="n">
        <f aca="false">SUM(E16:E22)</f>
        <v>913</v>
      </c>
      <c r="F23" s="19" t="n">
        <f aca="false">SUM(F16:F22)</f>
        <v>935</v>
      </c>
      <c r="G23" s="19" t="n">
        <f aca="false">SUM(G16:G22)</f>
        <v>957</v>
      </c>
      <c r="H23" s="19" t="n">
        <f aca="false">SUM(H16:H22)</f>
        <v>1498</v>
      </c>
      <c r="I23" s="19" t="n">
        <f aca="false">SUM(I16:I22)</f>
        <v>1540</v>
      </c>
      <c r="J23" s="19" t="n">
        <f aca="false">SUM(J16:J22)</f>
        <v>1581</v>
      </c>
      <c r="K23" s="19" t="n">
        <f aca="false">SUM(K16:K22)</f>
        <v>1622</v>
      </c>
      <c r="L23" s="19" t="n">
        <f aca="false">SUM(L16:L22)</f>
        <v>3162</v>
      </c>
      <c r="M23" s="19" t="n">
        <f aca="false">SUM(M16:M22)</f>
        <v>3202</v>
      </c>
      <c r="N23" s="19" t="n">
        <f aca="false">SUM(N16:N22)</f>
        <v>3521</v>
      </c>
      <c r="O23" s="19" t="n">
        <f aca="false">SUM(O16:O22)</f>
        <v>3588</v>
      </c>
      <c r="P23" s="19" t="n">
        <f aca="false">SUM(P16:P22)</f>
        <v>3656</v>
      </c>
      <c r="Q23" s="19" t="n">
        <f aca="false">SUM(Q16:Q22)</f>
        <v>5723</v>
      </c>
      <c r="R23" s="19" t="n">
        <f aca="false">SUM(R16:R22)</f>
        <v>5790</v>
      </c>
      <c r="S23" s="19" t="n">
        <f aca="false">SUM(S16:S22)</f>
        <v>5857</v>
      </c>
      <c r="T23" s="19" t="n">
        <f aca="false">SUM(T16:T22)</f>
        <v>5951</v>
      </c>
      <c r="U23" s="19" t="n">
        <f aca="false">SUM(U16:U22)</f>
        <v>6044</v>
      </c>
      <c r="V23" s="19" t="n">
        <f aca="false">SUM(V16:V22)</f>
        <v>6138</v>
      </c>
      <c r="W23" s="19" t="n">
        <f aca="false">SUM(W16:W22)</f>
        <v>6231</v>
      </c>
      <c r="X23" s="19" t="n">
        <f aca="false">SUM(X16:X22)</f>
        <v>6323</v>
      </c>
      <c r="Y23" s="19" t="n">
        <f aca="false">SUM(Y16:Y22)</f>
        <v>6415</v>
      </c>
    </row>
    <row r="24" customFormat="false" ht="15" hidden="false" customHeight="true" outlineLevel="0" collapsed="false">
      <c r="A24" s="14"/>
    </row>
    <row r="25" customFormat="false" ht="15" hidden="false" customHeight="true" outlineLevel="0" collapsed="false">
      <c r="A25" s="13" t="s">
        <v>117</v>
      </c>
      <c r="B25" s="20" t="n">
        <f aca="false">B13-B23</f>
        <v>-468</v>
      </c>
      <c r="C25" s="20" t="n">
        <f aca="false">C13-C23</f>
        <v>-272</v>
      </c>
      <c r="D25" s="20" t="n">
        <f aca="false">D13-D23</f>
        <v>-76</v>
      </c>
      <c r="E25" s="20" t="n">
        <f aca="false">E13-E23</f>
        <v>247</v>
      </c>
      <c r="F25" s="20" t="n">
        <f aca="false">F13-F23</f>
        <v>770</v>
      </c>
      <c r="G25" s="20" t="n">
        <f aca="false">G13-G23</f>
        <v>1282</v>
      </c>
      <c r="H25" s="20" t="n">
        <f aca="false">H13-H23</f>
        <v>1750</v>
      </c>
      <c r="I25" s="20" t="n">
        <f aca="false">I13-I23</f>
        <v>2718</v>
      </c>
      <c r="J25" s="20" t="n">
        <f aca="false">J13-J23</f>
        <v>3672</v>
      </c>
      <c r="K25" s="20" t="n">
        <f aca="false">K13-K23</f>
        <v>4629</v>
      </c>
      <c r="L25" s="20" t="n">
        <f aca="false">L13-L23</f>
        <v>4084</v>
      </c>
      <c r="M25" s="20" t="n">
        <f aca="false">M13-M23</f>
        <v>5026</v>
      </c>
      <c r="N25" s="20" t="n">
        <f aca="false">N13-N23</f>
        <v>6372</v>
      </c>
      <c r="O25" s="20" t="n">
        <f aca="false">O13-O23</f>
        <v>7957</v>
      </c>
      <c r="P25" s="20" t="n">
        <f aca="false">P13-P23</f>
        <v>9540</v>
      </c>
      <c r="Q25" s="20" t="n">
        <f aca="false">Q13-Q23</f>
        <v>9110</v>
      </c>
      <c r="R25" s="20" t="n">
        <f aca="false">R13-R23</f>
        <v>10681</v>
      </c>
      <c r="S25" s="20" t="n">
        <f aca="false">S13-S23</f>
        <v>12238</v>
      </c>
      <c r="T25" s="20" t="n">
        <f aca="false">T13-T23</f>
        <v>14436</v>
      </c>
      <c r="U25" s="20" t="n">
        <f aca="false">U13-U23</f>
        <v>16635</v>
      </c>
      <c r="V25" s="20" t="n">
        <f aca="false">V13-V23</f>
        <v>18820</v>
      </c>
      <c r="W25" s="20" t="n">
        <f aca="false">W13-W23</f>
        <v>20993</v>
      </c>
      <c r="X25" s="20" t="n">
        <f aca="false">X13-X23</f>
        <v>23152</v>
      </c>
      <c r="Y25" s="20" t="n">
        <f aca="false">Y13-Y23</f>
        <v>25299</v>
      </c>
    </row>
    <row r="26" customFormat="false" ht="15" hidden="false" customHeight="true" outlineLevel="0" collapsed="false">
      <c r="A26" s="14" t="s">
        <v>118</v>
      </c>
      <c r="B26" s="21" t="n">
        <f aca="false">B25-Assumptions!B13</f>
        <v>-3308</v>
      </c>
      <c r="C26" s="21" t="n">
        <f aca="false">B26+C25</f>
        <v>-3580</v>
      </c>
      <c r="D26" s="21" t="n">
        <f aca="false">C26+D25</f>
        <v>-3656</v>
      </c>
      <c r="E26" s="21" t="n">
        <f aca="false">D26+E25</f>
        <v>-3409</v>
      </c>
      <c r="F26" s="21" t="n">
        <f aca="false">E26+F25</f>
        <v>-2639</v>
      </c>
      <c r="G26" s="21" t="n">
        <f aca="false">F26+G25</f>
        <v>-1357</v>
      </c>
      <c r="H26" s="21" t="n">
        <f aca="false">G26+H25</f>
        <v>393</v>
      </c>
      <c r="I26" s="21" t="n">
        <f aca="false">H26+I25</f>
        <v>3111</v>
      </c>
      <c r="J26" s="21" t="n">
        <f aca="false">I26+J25</f>
        <v>6783</v>
      </c>
      <c r="K26" s="21" t="n">
        <f aca="false">J26+K25</f>
        <v>11412</v>
      </c>
      <c r="L26" s="21" t="n">
        <f aca="false">K26+L25</f>
        <v>15496</v>
      </c>
      <c r="M26" s="21" t="n">
        <f aca="false">L26+M25</f>
        <v>20522</v>
      </c>
      <c r="N26" s="21" t="n">
        <f aca="false">M26+N25</f>
        <v>26894</v>
      </c>
      <c r="O26" s="21" t="n">
        <f aca="false">N26+O25</f>
        <v>34851</v>
      </c>
      <c r="P26" s="21" t="n">
        <f aca="false">O26+P25</f>
        <v>44391</v>
      </c>
      <c r="Q26" s="21" t="n">
        <f aca="false">P26+Q25</f>
        <v>53501</v>
      </c>
      <c r="R26" s="21" t="n">
        <f aca="false">Q26+R25</f>
        <v>64182</v>
      </c>
      <c r="S26" s="21" t="n">
        <f aca="false">R26+S25</f>
        <v>76420</v>
      </c>
      <c r="T26" s="21" t="n">
        <f aca="false">S26+T25</f>
        <v>90856</v>
      </c>
      <c r="U26" s="21" t="n">
        <f aca="false">T26+U25</f>
        <v>107491</v>
      </c>
      <c r="V26" s="21" t="n">
        <f aca="false">U26+V25</f>
        <v>126311</v>
      </c>
      <c r="W26" s="21" t="n">
        <f aca="false">V26+W25</f>
        <v>147304</v>
      </c>
      <c r="X26" s="21" t="n">
        <f aca="false">W26+X25</f>
        <v>170456</v>
      </c>
      <c r="Y26" s="21" t="n">
        <f aca="false">X26+Y25</f>
        <v>195755</v>
      </c>
    </row>
    <row r="27" customFormat="false" ht="15" hidden="false" customHeight="true" outlineLevel="0" collapsed="false">
      <c r="A27" s="14"/>
    </row>
    <row r="28" customFormat="false" ht="15" hidden="false" customHeight="true" outlineLevel="0" collapsed="false">
      <c r="A28" s="13" t="s">
        <v>119</v>
      </c>
    </row>
    <row r="29" customFormat="false" ht="15" hidden="false" customHeight="true" outlineLevel="0" collapsed="false">
      <c r="A29" s="14" t="s">
        <v>120</v>
      </c>
      <c r="B29" s="18" t="n">
        <f aca="false">B13</f>
        <v>205</v>
      </c>
      <c r="C29" s="18" t="n">
        <f aca="false">C13</f>
        <v>410</v>
      </c>
      <c r="D29" s="18" t="n">
        <f aca="false">D13</f>
        <v>614</v>
      </c>
      <c r="E29" s="18" t="n">
        <f aca="false">E13</f>
        <v>1160</v>
      </c>
      <c r="F29" s="18" t="n">
        <f aca="false">F13</f>
        <v>1705</v>
      </c>
      <c r="G29" s="18" t="n">
        <f aca="false">G13</f>
        <v>2239</v>
      </c>
      <c r="H29" s="18" t="n">
        <f aca="false">H13</f>
        <v>3248</v>
      </c>
      <c r="I29" s="18" t="n">
        <f aca="false">I13</f>
        <v>4258</v>
      </c>
      <c r="J29" s="18" t="n">
        <f aca="false">J13</f>
        <v>5253</v>
      </c>
      <c r="K29" s="18" t="n">
        <f aca="false">K13</f>
        <v>6251</v>
      </c>
      <c r="L29" s="18" t="n">
        <f aca="false">L13</f>
        <v>7246</v>
      </c>
      <c r="M29" s="18" t="n">
        <f aca="false">M13</f>
        <v>8228</v>
      </c>
      <c r="N29" s="18" t="n">
        <f aca="false">N13</f>
        <v>9893</v>
      </c>
      <c r="O29" s="18" t="n">
        <f aca="false">O13</f>
        <v>11545</v>
      </c>
      <c r="P29" s="18" t="n">
        <f aca="false">P13</f>
        <v>13196</v>
      </c>
      <c r="Q29" s="18" t="n">
        <f aca="false">Q13</f>
        <v>14833</v>
      </c>
      <c r="R29" s="18" t="n">
        <f aca="false">R13</f>
        <v>16471</v>
      </c>
      <c r="S29" s="18" t="n">
        <f aca="false">S13</f>
        <v>18095</v>
      </c>
      <c r="T29" s="18" t="n">
        <f aca="false">T13</f>
        <v>20387</v>
      </c>
      <c r="U29" s="18" t="n">
        <f aca="false">U13</f>
        <v>22679</v>
      </c>
      <c r="V29" s="18" t="n">
        <f aca="false">V13</f>
        <v>24958</v>
      </c>
      <c r="W29" s="18" t="n">
        <f aca="false">W13</f>
        <v>27224</v>
      </c>
      <c r="X29" s="18" t="n">
        <f aca="false">X13</f>
        <v>29475</v>
      </c>
      <c r="Y29" s="18" t="n">
        <f aca="false">Y13</f>
        <v>31714</v>
      </c>
    </row>
    <row r="30" customFormat="false" ht="15" hidden="false" customHeight="true" outlineLevel="0" collapsed="false">
      <c r="A30" s="14" t="s">
        <v>121</v>
      </c>
      <c r="B30" s="19" t="n">
        <f aca="false">B13*12</f>
        <v>2460</v>
      </c>
      <c r="C30" s="19" t="n">
        <f aca="false">C13*12</f>
        <v>4920</v>
      </c>
      <c r="D30" s="19" t="n">
        <f aca="false">D13*12</f>
        <v>7368</v>
      </c>
      <c r="E30" s="19" t="n">
        <f aca="false">E13*12</f>
        <v>13920</v>
      </c>
      <c r="F30" s="19" t="n">
        <f aca="false">F13*12</f>
        <v>20460</v>
      </c>
      <c r="G30" s="19" t="n">
        <f aca="false">G13*12</f>
        <v>26868</v>
      </c>
      <c r="H30" s="19" t="n">
        <f aca="false">H13*12</f>
        <v>38976</v>
      </c>
      <c r="I30" s="19" t="n">
        <f aca="false">I13*12</f>
        <v>51096</v>
      </c>
      <c r="J30" s="19" t="n">
        <f aca="false">J13*12</f>
        <v>63036</v>
      </c>
      <c r="K30" s="19" t="n">
        <f aca="false">K13*12</f>
        <v>75012</v>
      </c>
      <c r="L30" s="19" t="n">
        <f aca="false">L13*12</f>
        <v>86952</v>
      </c>
      <c r="M30" s="19" t="n">
        <f aca="false">M13*12</f>
        <v>98736</v>
      </c>
      <c r="N30" s="19" t="n">
        <f aca="false">N13*12</f>
        <v>118716</v>
      </c>
      <c r="O30" s="19" t="n">
        <f aca="false">O13*12</f>
        <v>138540</v>
      </c>
      <c r="P30" s="19" t="n">
        <f aca="false">P13*12</f>
        <v>158352</v>
      </c>
      <c r="Q30" s="19" t="n">
        <f aca="false">Q13*12</f>
        <v>177996</v>
      </c>
      <c r="R30" s="19" t="n">
        <f aca="false">R13*12</f>
        <v>197652</v>
      </c>
      <c r="S30" s="19" t="n">
        <f aca="false">S13*12</f>
        <v>217140</v>
      </c>
      <c r="T30" s="19" t="n">
        <f aca="false">T13*12</f>
        <v>244644</v>
      </c>
      <c r="U30" s="19" t="n">
        <f aca="false">U13*12</f>
        <v>272148</v>
      </c>
      <c r="V30" s="19" t="n">
        <f aca="false">V13*12</f>
        <v>299496</v>
      </c>
      <c r="W30" s="19" t="n">
        <f aca="false">W13*12</f>
        <v>326688</v>
      </c>
      <c r="X30" s="19" t="n">
        <f aca="false">X13*12</f>
        <v>353700</v>
      </c>
      <c r="Y30" s="19" t="n">
        <f aca="false">Y13*12</f>
        <v>380568</v>
      </c>
    </row>
    <row r="31" customFormat="false" ht="15" hidden="false" customHeight="true" outlineLevel="0" collapsed="false">
      <c r="A31" s="14" t="s">
        <v>122</v>
      </c>
      <c r="B31" s="18" t="n">
        <f aca="false">IF(B7&gt;0,B13/B7*12,0)</f>
        <v>164</v>
      </c>
      <c r="C31" s="18" t="n">
        <f aca="false">IF(C7&gt;0,C13/C7*12,0)</f>
        <v>164</v>
      </c>
      <c r="D31" s="18" t="n">
        <f aca="false">IF(D7&gt;0,D13/D7*12,0)</f>
        <v>163.733333333333</v>
      </c>
      <c r="E31" s="18" t="n">
        <f aca="false">IF(E7&gt;0,E13/E7*12,0)</f>
        <v>163.764705882353</v>
      </c>
      <c r="F31" s="18" t="n">
        <f aca="false">IF(F7&gt;0,F13/F7*12,0)</f>
        <v>163.68</v>
      </c>
      <c r="G31" s="18" t="n">
        <f aca="false">IF(G7&gt;0,G13/G7*12,0)</f>
        <v>163.829268292683</v>
      </c>
      <c r="H31" s="18" t="n">
        <f aca="false">IF(H7&gt;0,H13/H7*12,0)</f>
        <v>163.764705882353</v>
      </c>
      <c r="I31" s="18" t="n">
        <f aca="false">IF(I7&gt;0,I13/I7*12,0)</f>
        <v>163.769230769231</v>
      </c>
      <c r="J31" s="18" t="n">
        <f aca="false">IF(J7&gt;0,J13/J7*12,0)</f>
        <v>163.72987012987</v>
      </c>
      <c r="K31" s="18" t="n">
        <f aca="false">IF(K7&gt;0,K13/K7*12,0)</f>
        <v>163.781659388646</v>
      </c>
      <c r="L31" s="18" t="n">
        <f aca="false">IF(L7&gt;0,L13/L7*12,0)</f>
        <v>163.751412429379</v>
      </c>
      <c r="M31" s="18" t="n">
        <f aca="false">IF(M7&gt;0,M13/M7*12,0)</f>
        <v>163.741293532338</v>
      </c>
      <c r="N31" s="18" t="n">
        <f aca="false">IF(N7&gt;0,N13/N7*12,0)</f>
        <v>163.746206896552</v>
      </c>
      <c r="O31" s="18" t="n">
        <f aca="false">IF(O7&gt;0,O13/O7*12,0)</f>
        <v>163.758865248227</v>
      </c>
      <c r="P31" s="18" t="n">
        <f aca="false">IF(P7&gt;0,P13/P7*12,0)</f>
        <v>163.75594622544</v>
      </c>
      <c r="Q31" s="18" t="n">
        <f aca="false">IF(Q7&gt;0,Q13/Q7*12,0)</f>
        <v>163.7497700092</v>
      </c>
      <c r="R31" s="18" t="n">
        <f aca="false">IF(R7&gt;0,R13/R7*12,0)</f>
        <v>163.754763877382</v>
      </c>
      <c r="S31" s="18" t="n">
        <f aca="false">IF(S7&gt;0,S13/S7*12,0)</f>
        <v>163.755656108597</v>
      </c>
      <c r="T31" s="18" t="n">
        <f aca="false">IF(T7&gt;0,T13/T7*12,0)</f>
        <v>163.751004016064</v>
      </c>
      <c r="U31" s="18" t="n">
        <f aca="false">IF(U7&gt;0,U13/U7*12,0)</f>
        <v>163.747292418773</v>
      </c>
      <c r="V31" s="18" t="n">
        <f aca="false">IF(V7&gt;0,V13/V7*12,0)</f>
        <v>163.748496446145</v>
      </c>
      <c r="W31" s="18" t="n">
        <f aca="false">IF(W7&gt;0,W13/W7*12,0)</f>
        <v>163.753383458647</v>
      </c>
      <c r="X31" s="18" t="n">
        <f aca="false">IF(X7&gt;0,X13/X7*12,0)</f>
        <v>163.75</v>
      </c>
      <c r="Y31" s="18" t="n">
        <f aca="false">IF(Y7&gt;0,Y13/Y7*12,0)</f>
        <v>163.755593803787</v>
      </c>
    </row>
    <row r="32" customFormat="false" ht="15" hidden="false" customHeight="true" outlineLevel="0" collapsed="false">
      <c r="A32" s="14" t="s">
        <v>123</v>
      </c>
      <c r="B32" s="22" t="n">
        <f aca="false">IF(B13&gt;0,(B13-B23)/B13,0)</f>
        <v>-2.28292682926829</v>
      </c>
      <c r="C32" s="22" t="n">
        <f aca="false">IF(C13&gt;0,(C13-C23)/C13,0)</f>
        <v>-0.663414634146342</v>
      </c>
      <c r="D32" s="22" t="n">
        <f aca="false">IF(D13&gt;0,(D13-D23)/D13,0)</f>
        <v>-0.123778501628665</v>
      </c>
      <c r="E32" s="22" t="n">
        <f aca="false">IF(E13&gt;0,(E13-E23)/E13,0)</f>
        <v>0.212931034482759</v>
      </c>
      <c r="F32" s="22" t="n">
        <f aca="false">IF(F13&gt;0,(F13-F23)/F13,0)</f>
        <v>0.451612903225806</v>
      </c>
      <c r="G32" s="22" t="n">
        <f aca="false">IF(G13&gt;0,(G13-G23)/G13,0)</f>
        <v>0.572577043322912</v>
      </c>
      <c r="H32" s="22" t="n">
        <f aca="false">IF(H13&gt;0,(H13-H23)/H13,0)</f>
        <v>0.538793103448276</v>
      </c>
      <c r="I32" s="22" t="n">
        <f aca="false">IF(I13&gt;0,(I13-I23)/I13,0)</f>
        <v>0.638327853452325</v>
      </c>
      <c r="J32" s="22" t="n">
        <f aca="false">IF(J13&gt;0,(J13-J23)/J13,0)</f>
        <v>0.699029126213592</v>
      </c>
      <c r="K32" s="22" t="n">
        <f aca="false">IF(K13&gt;0,(K13-K23)/K13,0)</f>
        <v>0.740521516557351</v>
      </c>
      <c r="L32" s="22" t="n">
        <f aca="false">IF(L13&gt;0,(L13-L23)/L13,0)</f>
        <v>0.563621308308032</v>
      </c>
      <c r="M32" s="22" t="n">
        <f aca="false">IF(M13&gt;0,(M13-M23)/M13,0)</f>
        <v>0.610841030627127</v>
      </c>
      <c r="N32" s="22" t="n">
        <f aca="false">IF(N13&gt;0,(N13-N23)/N13,0)</f>
        <v>0.644091782068129</v>
      </c>
      <c r="O32" s="22" t="n">
        <f aca="false">IF(O13&gt;0,(O13-O23)/O13,0)</f>
        <v>0.689216110870507</v>
      </c>
      <c r="P32" s="22" t="n">
        <f aca="false">IF(P13&gt;0,(P13-P23)/P13,0)</f>
        <v>0.722946347377993</v>
      </c>
      <c r="Q32" s="22" t="n">
        <f aca="false">IF(Q13&gt;0,(Q13-Q23)/Q13,0)</f>
        <v>0.614171104968651</v>
      </c>
      <c r="R32" s="22" t="n">
        <f aca="false">IF(R13&gt;0,(R13-R23)/R13,0)</f>
        <v>0.648473073887439</v>
      </c>
      <c r="S32" s="22" t="n">
        <f aca="false">IF(S13&gt;0,(S13-S23)/S13,0)</f>
        <v>0.676319425255596</v>
      </c>
      <c r="T32" s="22" t="n">
        <f aca="false">IF(T13&gt;0,(T13-T23)/T13,0)</f>
        <v>0.708098297934959</v>
      </c>
      <c r="U32" s="22" t="n">
        <f aca="false">IF(U13&gt;0,(U13-U23)/U13,0)</f>
        <v>0.733497949645046</v>
      </c>
      <c r="V32" s="22" t="n">
        <f aca="false">IF(V13&gt;0,(V13-V23)/V13,0)</f>
        <v>0.754066832278228</v>
      </c>
      <c r="W32" s="22" t="n">
        <f aca="false">IF(W13&gt;0,(W13-W23)/W13,0)</f>
        <v>0.771121069644431</v>
      </c>
      <c r="X32" s="22" t="n">
        <f aca="false">IF(X13&gt;0,(X13-X23)/X13,0)</f>
        <v>0.785479219677693</v>
      </c>
      <c r="Y32" s="22" t="n">
        <f aca="false">IF(Y13&gt;0,(Y13-Y23)/Y13,0)</f>
        <v>0.79772340291354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124</v>
      </c>
    </row>
    <row r="2" customFormat="false" ht="15" hidden="false" customHeight="true" outlineLevel="0" collapsed="false">
      <c r="A2" s="14"/>
      <c r="B2" s="14"/>
      <c r="C2" s="23"/>
    </row>
    <row r="3" customFormat="false" ht="15" hidden="false" customHeight="true" outlineLevel="0" collapsed="false">
      <c r="A3" s="24" t="s">
        <v>125</v>
      </c>
      <c r="B3" s="25"/>
      <c r="C3" s="25"/>
    </row>
    <row r="4" customFormat="false" ht="15" hidden="false" customHeight="true" outlineLevel="0" collapsed="false">
      <c r="A4" s="14" t="s">
        <v>126</v>
      </c>
      <c r="B4" s="26" t="n">
        <v>25</v>
      </c>
      <c r="C4" s="23" t="s">
        <v>127</v>
      </c>
    </row>
    <row r="5" customFormat="false" ht="15" hidden="false" customHeight="true" outlineLevel="0" collapsed="false">
      <c r="A5" s="14" t="s">
        <v>128</v>
      </c>
      <c r="B5" s="26" t="n">
        <v>10</v>
      </c>
      <c r="C5" s="23" t="s">
        <v>129</v>
      </c>
    </row>
    <row r="6" customFormat="false" ht="15" hidden="false" customHeight="true" outlineLevel="0" collapsed="false">
      <c r="A6" s="14" t="s">
        <v>130</v>
      </c>
      <c r="B6" s="26" t="n">
        <v>45</v>
      </c>
      <c r="C6" s="23" t="s">
        <v>131</v>
      </c>
    </row>
    <row r="7" customFormat="false" ht="15" hidden="false" customHeight="true" outlineLevel="0" collapsed="false">
      <c r="A7" s="14" t="s">
        <v>132</v>
      </c>
      <c r="B7" s="26" t="n">
        <v>15</v>
      </c>
      <c r="C7" s="23" t="s">
        <v>133</v>
      </c>
    </row>
    <row r="8" customFormat="false" ht="15" hidden="false" customHeight="true" outlineLevel="0" collapsed="false">
      <c r="A8" s="14" t="s">
        <v>134</v>
      </c>
      <c r="B8" s="26" t="n">
        <v>8</v>
      </c>
      <c r="C8" s="23" t="s">
        <v>135</v>
      </c>
    </row>
    <row r="9" customFormat="false" ht="15" hidden="false" customHeight="true" outlineLevel="0" collapsed="false">
      <c r="A9" s="14" t="s">
        <v>136</v>
      </c>
      <c r="B9" s="26" t="n">
        <v>20</v>
      </c>
      <c r="C9" s="23" t="s">
        <v>137</v>
      </c>
    </row>
    <row r="10" customFormat="false" ht="15" hidden="false" customHeight="true" outlineLevel="0" collapsed="false">
      <c r="A10" s="14"/>
      <c r="B10" s="14"/>
      <c r="C10" s="23"/>
    </row>
    <row r="11" customFormat="false" ht="15" hidden="false" customHeight="true" outlineLevel="0" collapsed="false">
      <c r="A11" s="24" t="s">
        <v>138</v>
      </c>
      <c r="B11" s="25"/>
      <c r="C11" s="25"/>
    </row>
    <row r="12" customFormat="false" ht="15" hidden="false" customHeight="true" outlineLevel="0" collapsed="false">
      <c r="A12" s="14" t="s">
        <v>139</v>
      </c>
      <c r="B12" s="26" t="n">
        <v>150</v>
      </c>
      <c r="C12" s="23" t="s">
        <v>140</v>
      </c>
    </row>
    <row r="13" customFormat="false" ht="15" hidden="false" customHeight="true" outlineLevel="0" collapsed="false">
      <c r="A13" s="14" t="s">
        <v>141</v>
      </c>
      <c r="B13" s="26" t="n">
        <v>5</v>
      </c>
      <c r="C13" s="23" t="s">
        <v>142</v>
      </c>
    </row>
    <row r="14" customFormat="false" ht="15" hidden="false" customHeight="true" outlineLevel="0" collapsed="false">
      <c r="A14" s="14" t="s">
        <v>143</v>
      </c>
      <c r="B14" s="26" t="n">
        <v>750</v>
      </c>
      <c r="C14" s="23" t="s">
        <v>144</v>
      </c>
    </row>
    <row r="15" customFormat="false" ht="15" hidden="false" customHeight="true" outlineLevel="0" collapsed="false">
      <c r="A15" s="14" t="s">
        <v>145</v>
      </c>
      <c r="B15" s="14" t="s">
        <v>146</v>
      </c>
      <c r="C15" s="23" t="s">
        <v>147</v>
      </c>
    </row>
    <row r="16" customFormat="false" ht="15" hidden="false" customHeight="true" outlineLevel="0" collapsed="false">
      <c r="A16" s="14" t="s">
        <v>148</v>
      </c>
      <c r="B16" s="26" t="n">
        <v>2</v>
      </c>
      <c r="C16" s="23" t="s">
        <v>149</v>
      </c>
    </row>
    <row r="17" customFormat="false" ht="15" hidden="false" customHeight="true" outlineLevel="0" collapsed="false">
      <c r="A17" s="14"/>
      <c r="B17" s="14"/>
      <c r="C17" s="23"/>
    </row>
    <row r="18" customFormat="false" ht="15" hidden="false" customHeight="true" outlineLevel="0" collapsed="false">
      <c r="A18" s="24" t="s">
        <v>150</v>
      </c>
      <c r="B18" s="25"/>
      <c r="C18" s="25"/>
    </row>
    <row r="19" customFormat="false" ht="15" hidden="false" customHeight="true" outlineLevel="0" collapsed="false">
      <c r="A19" s="14" t="s">
        <v>151</v>
      </c>
      <c r="B19" s="14" t="s">
        <v>152</v>
      </c>
      <c r="C19" s="23" t="s">
        <v>153</v>
      </c>
    </row>
    <row r="20" customFormat="false" ht="15" hidden="false" customHeight="true" outlineLevel="0" collapsed="false">
      <c r="A20" s="14" t="s">
        <v>154</v>
      </c>
      <c r="B20" s="26" t="n">
        <v>20</v>
      </c>
      <c r="C20" s="23" t="s">
        <v>155</v>
      </c>
    </row>
    <row r="21" customFormat="false" ht="15" hidden="false" customHeight="true" outlineLevel="0" collapsed="false">
      <c r="A21" s="14" t="s">
        <v>156</v>
      </c>
      <c r="B21" s="26" t="n">
        <v>130</v>
      </c>
      <c r="C21" s="23" t="s">
        <v>157</v>
      </c>
    </row>
    <row r="22" customFormat="false" ht="15" hidden="false" customHeight="true" outlineLevel="0" collapsed="false">
      <c r="A22" s="14" t="s">
        <v>158</v>
      </c>
      <c r="B22" s="14" t="s">
        <v>159</v>
      </c>
      <c r="C22" s="23" t="s">
        <v>160</v>
      </c>
    </row>
    <row r="23" customFormat="false" ht="15" hidden="false" customHeight="true" outlineLevel="0" collapsed="false">
      <c r="A23" s="14"/>
      <c r="B23" s="14"/>
      <c r="C23" s="23"/>
    </row>
    <row r="24" customFormat="false" ht="15" hidden="false" customHeight="true" outlineLevel="0" collapsed="false">
      <c r="A24" s="24" t="s">
        <v>161</v>
      </c>
      <c r="B24" s="25"/>
      <c r="C24" s="25"/>
    </row>
    <row r="25" customFormat="false" ht="15" hidden="false" customHeight="true" outlineLevel="0" collapsed="false">
      <c r="A25" s="14" t="s">
        <v>162</v>
      </c>
      <c r="B25" s="26" t="n">
        <v>667</v>
      </c>
      <c r="C25" s="23" t="s">
        <v>163</v>
      </c>
    </row>
    <row r="26" customFormat="false" ht="15" hidden="false" customHeight="true" outlineLevel="0" collapsed="false">
      <c r="A26" s="14" t="s">
        <v>164</v>
      </c>
      <c r="B26" s="26" t="n">
        <v>2000</v>
      </c>
      <c r="C26" s="23" t="s">
        <v>165</v>
      </c>
    </row>
    <row r="27" customFormat="false" ht="15" hidden="false" customHeight="true" outlineLevel="0" collapsed="false">
      <c r="A27" s="14" t="s">
        <v>166</v>
      </c>
      <c r="B27" s="26" t="n">
        <v>4000</v>
      </c>
      <c r="C27" s="23" t="s">
        <v>167</v>
      </c>
    </row>
    <row r="28" customFormat="false" ht="15" hidden="false" customHeight="true" outlineLevel="0" collapsed="false">
      <c r="A28" s="14" t="s">
        <v>168</v>
      </c>
      <c r="B28" s="26" t="n">
        <v>27</v>
      </c>
      <c r="C28" s="23" t="s">
        <v>169</v>
      </c>
    </row>
    <row r="29" customFormat="false" ht="15" hidden="false" customHeight="true" outlineLevel="0" collapsed="false">
      <c r="A29" s="14"/>
      <c r="B29" s="14"/>
      <c r="C29" s="23"/>
    </row>
    <row r="30" customFormat="false" ht="15" hidden="false" customHeight="true" outlineLevel="0" collapsed="false">
      <c r="A30" s="24" t="s">
        <v>170</v>
      </c>
      <c r="B30" s="25"/>
      <c r="C30" s="25"/>
    </row>
    <row r="31" customFormat="false" ht="15" hidden="false" customHeight="true" outlineLevel="0" collapsed="false">
      <c r="A31" s="14" t="s">
        <v>171</v>
      </c>
      <c r="B31" s="14" t="s">
        <v>172</v>
      </c>
      <c r="C31" s="23" t="s">
        <v>173</v>
      </c>
    </row>
    <row r="32" customFormat="false" ht="15" hidden="false" customHeight="true" outlineLevel="0" collapsed="false">
      <c r="A32" s="14" t="s">
        <v>174</v>
      </c>
      <c r="B32" s="14" t="s">
        <v>175</v>
      </c>
      <c r="C32" s="23" t="s">
        <v>176</v>
      </c>
    </row>
    <row r="33" customFormat="false" ht="15" hidden="false" customHeight="true" outlineLevel="0" collapsed="false">
      <c r="A33" s="14" t="s">
        <v>177</v>
      </c>
      <c r="B33" s="14" t="s">
        <v>178</v>
      </c>
      <c r="C33" s="23"/>
    </row>
    <row r="34" customFormat="false" ht="15" hidden="false" customHeight="true" outlineLevel="0" collapsed="false">
      <c r="A34" s="14" t="s">
        <v>179</v>
      </c>
      <c r="B34" s="14" t="s">
        <v>180</v>
      </c>
      <c r="C34" s="23"/>
    </row>
    <row r="35" customFormat="false" ht="15" hidden="false" customHeight="true" outlineLevel="0" collapsed="false">
      <c r="A35" s="14" t="s">
        <v>181</v>
      </c>
      <c r="B35" s="14" t="s">
        <v>182</v>
      </c>
      <c r="C35" s="23"/>
    </row>
    <row r="36" customFormat="false" ht="15" hidden="false" customHeight="true" outlineLevel="0" collapsed="false">
      <c r="A36" s="14" t="s">
        <v>183</v>
      </c>
      <c r="B36" s="14" t="s">
        <v>184</v>
      </c>
      <c r="C3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185</v>
      </c>
    </row>
    <row r="3" customFormat="false" ht="15" hidden="false" customHeight="true" outlineLevel="0" collapsed="false">
      <c r="A3" s="12"/>
      <c r="B3" s="12" t="s">
        <v>186</v>
      </c>
      <c r="C3" s="12" t="s">
        <v>187</v>
      </c>
      <c r="D3" s="12" t="s">
        <v>188</v>
      </c>
    </row>
    <row r="4" customFormat="false" ht="15" hidden="false" customHeight="true" outlineLevel="0" collapsed="false">
      <c r="A4" s="24" t="s">
        <v>189</v>
      </c>
      <c r="B4" s="27"/>
      <c r="C4" s="27"/>
      <c r="D4" s="27"/>
    </row>
    <row r="5" customFormat="false" ht="15" hidden="false" customHeight="true" outlineLevel="0" collapsed="false">
      <c r="A5" s="14" t="s">
        <v>190</v>
      </c>
      <c r="B5" s="28" t="n">
        <v>400</v>
      </c>
      <c r="C5" s="28" t="n">
        <v>800</v>
      </c>
      <c r="D5" s="28" t="n">
        <v>1500</v>
      </c>
    </row>
    <row r="6" customFormat="false" ht="15" hidden="false" customHeight="true" outlineLevel="0" collapsed="false">
      <c r="A6" s="14" t="s">
        <v>191</v>
      </c>
      <c r="B6" s="29" t="n">
        <v>130</v>
      </c>
      <c r="C6" s="29" t="n">
        <v>150</v>
      </c>
      <c r="D6" s="29" t="n">
        <v>170</v>
      </c>
    </row>
    <row r="7" customFormat="false" ht="15" hidden="false" customHeight="true" outlineLevel="0" collapsed="false">
      <c r="A7" s="14" t="s">
        <v>192</v>
      </c>
      <c r="B7" s="30" t="n">
        <f aca="false">B4*B5</f>
        <v>0</v>
      </c>
      <c r="C7" s="30" t="n">
        <f aca="false">C4*C5</f>
        <v>0</v>
      </c>
      <c r="D7" s="30" t="n">
        <f aca="false">D4*D5</f>
        <v>0</v>
      </c>
    </row>
    <row r="8" customFormat="false" ht="15" hidden="false" customHeight="true" outlineLevel="0" collapsed="false">
      <c r="A8" s="14" t="s">
        <v>193</v>
      </c>
      <c r="B8" s="30" t="n">
        <f aca="false">B6*0.6</f>
        <v>78</v>
      </c>
      <c r="C8" s="30" t="n">
        <f aca="false">C6*0.65</f>
        <v>97.5</v>
      </c>
      <c r="D8" s="30" t="n">
        <f aca="false">D6*0.7</f>
        <v>119</v>
      </c>
    </row>
    <row r="9" customFormat="false" ht="15" hidden="false" customHeight="true" outlineLevel="0" collapsed="false">
      <c r="A9" s="14" t="s">
        <v>194</v>
      </c>
      <c r="B9" s="29" t="n">
        <v>18000</v>
      </c>
      <c r="C9" s="29" t="n">
        <v>22000</v>
      </c>
      <c r="D9" s="29" t="n">
        <v>35000</v>
      </c>
    </row>
    <row r="10" customFormat="false" ht="15" hidden="false" customHeight="true" outlineLevel="0" collapsed="false">
      <c r="A10" s="14" t="s">
        <v>195</v>
      </c>
      <c r="B10" s="30" t="n">
        <f aca="false">B7-B8</f>
        <v>-78</v>
      </c>
      <c r="C10" s="30" t="n">
        <f aca="false">C7-C8</f>
        <v>-97.5</v>
      </c>
      <c r="D10" s="30" t="n">
        <f aca="false">D7-D8</f>
        <v>-119</v>
      </c>
    </row>
    <row r="11" customFormat="false" ht="15" hidden="false" customHeight="true" outlineLevel="0" collapsed="false">
      <c r="A11" s="27"/>
      <c r="B11" s="27"/>
      <c r="C11" s="27"/>
      <c r="D11" s="27"/>
    </row>
    <row r="12" customFormat="false" ht="15" hidden="false" customHeight="true" outlineLevel="0" collapsed="false">
      <c r="A12" s="24" t="s">
        <v>196</v>
      </c>
      <c r="B12" s="27"/>
      <c r="C12" s="27"/>
      <c r="D12" s="27"/>
    </row>
    <row r="13" customFormat="false" ht="15" hidden="false" customHeight="true" outlineLevel="0" collapsed="false">
      <c r="A13" s="14" t="s">
        <v>197</v>
      </c>
      <c r="B13" s="28" t="n">
        <v>1200</v>
      </c>
      <c r="C13" s="28" t="n">
        <v>2500</v>
      </c>
      <c r="D13" s="28" t="n">
        <v>5000</v>
      </c>
    </row>
    <row r="14" customFormat="false" ht="15" hidden="false" customHeight="true" outlineLevel="0" collapsed="false">
      <c r="A14" s="14" t="s">
        <v>191</v>
      </c>
      <c r="B14" s="29" t="n">
        <v>140</v>
      </c>
      <c r="C14" s="29" t="n">
        <v>155</v>
      </c>
      <c r="D14" s="29" t="n">
        <v>175</v>
      </c>
    </row>
    <row r="15" customFormat="false" ht="15" hidden="false" customHeight="true" outlineLevel="0" collapsed="false">
      <c r="A15" s="14" t="s">
        <v>198</v>
      </c>
      <c r="B15" s="30" t="n">
        <f aca="false">B12*B13</f>
        <v>0</v>
      </c>
      <c r="C15" s="30" t="n">
        <f aca="false">C12*C13</f>
        <v>0</v>
      </c>
      <c r="D15" s="30" t="n">
        <f aca="false">D12*D13</f>
        <v>0</v>
      </c>
    </row>
    <row r="16" customFormat="false" ht="15" hidden="false" customHeight="true" outlineLevel="0" collapsed="false">
      <c r="A16" s="14" t="s">
        <v>199</v>
      </c>
      <c r="B16" s="30" t="n">
        <f aca="false">B14*0.85</f>
        <v>119</v>
      </c>
      <c r="C16" s="30" t="n">
        <f aca="false">C14*0.9</f>
        <v>139.5</v>
      </c>
      <c r="D16" s="30" t="n">
        <f aca="false">D14*0.95</f>
        <v>166.25</v>
      </c>
    </row>
    <row r="17" customFormat="false" ht="15" hidden="false" customHeight="true" outlineLevel="0" collapsed="false">
      <c r="A17" s="14" t="s">
        <v>200</v>
      </c>
      <c r="B17" s="29" t="n">
        <v>36000</v>
      </c>
      <c r="C17" s="29" t="n">
        <v>55000</v>
      </c>
      <c r="D17" s="29" t="n">
        <v>95000</v>
      </c>
    </row>
    <row r="18" customFormat="false" ht="15" hidden="false" customHeight="true" outlineLevel="0" collapsed="false">
      <c r="A18" s="14" t="s">
        <v>201</v>
      </c>
      <c r="B18" s="30" t="n">
        <f aca="false">B15-B16</f>
        <v>-119</v>
      </c>
      <c r="C18" s="30" t="n">
        <f aca="false">C15-C16</f>
        <v>-139.5</v>
      </c>
      <c r="D18" s="30" t="n">
        <f aca="false">D15-D16</f>
        <v>-166.25</v>
      </c>
    </row>
    <row r="19" customFormat="false" ht="15" hidden="false" customHeight="true" outlineLevel="0" collapsed="false">
      <c r="A19" s="27"/>
      <c r="B19" s="27"/>
      <c r="C19" s="27"/>
      <c r="D19" s="27"/>
    </row>
    <row r="20" customFormat="false" ht="15" hidden="false" customHeight="true" outlineLevel="0" collapsed="false">
      <c r="A20" s="24" t="s">
        <v>202</v>
      </c>
      <c r="B20" s="27"/>
      <c r="C20" s="27"/>
      <c r="D20" s="27"/>
    </row>
    <row r="21" customFormat="false" ht="15" hidden="false" customHeight="true" outlineLevel="0" collapsed="false">
      <c r="A21" s="14" t="s">
        <v>203</v>
      </c>
      <c r="B21" s="30" t="n">
        <f aca="false">B7+B15</f>
        <v>0</v>
      </c>
      <c r="C21" s="30" t="n">
        <f aca="false">C7+C15</f>
        <v>0</v>
      </c>
      <c r="D21" s="30" t="n">
        <f aca="false">D7+D15</f>
        <v>0</v>
      </c>
    </row>
    <row r="22" customFormat="false" ht="15" hidden="false" customHeight="true" outlineLevel="0" collapsed="false">
      <c r="A22" s="14" t="s">
        <v>204</v>
      </c>
      <c r="B22" s="30" t="n">
        <f aca="false">B8+B16</f>
        <v>197</v>
      </c>
      <c r="C22" s="30" t="n">
        <f aca="false">C8+C16</f>
        <v>237</v>
      </c>
      <c r="D22" s="30" t="n">
        <f aca="false">D8+D16</f>
        <v>285.25</v>
      </c>
    </row>
    <row r="23" customFormat="false" ht="15" hidden="false" customHeight="true" outlineLevel="0" collapsed="false">
      <c r="A23" s="14" t="s">
        <v>205</v>
      </c>
      <c r="B23" s="30" t="n">
        <f aca="false">B19-B20</f>
        <v>0</v>
      </c>
      <c r="C23" s="30" t="n">
        <f aca="false">C19-C20</f>
        <v>0</v>
      </c>
      <c r="D23" s="30" t="n">
        <f aca="false">D19-D20</f>
        <v>0</v>
      </c>
    </row>
    <row r="24" customFormat="false" ht="15" hidden="false" customHeight="true" outlineLevel="0" collapsed="false">
      <c r="A24" s="14" t="s">
        <v>206</v>
      </c>
      <c r="B24" s="31" t="n">
        <f aca="false">B21/2840</f>
        <v>0</v>
      </c>
      <c r="C24" s="31" t="n">
        <f aca="false">C21/2840</f>
        <v>0</v>
      </c>
      <c r="D24" s="31" t="n">
        <f aca="false">D21/2840</f>
        <v>0</v>
      </c>
    </row>
    <row r="25" customFormat="false" ht="15" hidden="false" customHeight="true" outlineLevel="0" collapsed="false">
      <c r="A25" s="27"/>
      <c r="B25" s="27"/>
      <c r="C25" s="27"/>
      <c r="D25" s="27"/>
    </row>
    <row r="26" customFormat="false" ht="15" hidden="false" customHeight="true" outlineLevel="0" collapsed="false">
      <c r="A26" s="24" t="s">
        <v>207</v>
      </c>
      <c r="B26" s="27"/>
      <c r="C26" s="27"/>
      <c r="D26" s="27"/>
    </row>
    <row r="27" customFormat="false" ht="15" hidden="false" customHeight="true" outlineLevel="0" collapsed="false">
      <c r="A27" s="14" t="s">
        <v>208</v>
      </c>
      <c r="B27" s="30" t="n">
        <f aca="false">B14*3</f>
        <v>420</v>
      </c>
      <c r="C27" s="30" t="n">
        <f aca="false">C14*3</f>
        <v>465</v>
      </c>
      <c r="D27" s="30" t="n">
        <f aca="false">D14*3</f>
        <v>525</v>
      </c>
    </row>
    <row r="28" customFormat="false" ht="15" hidden="false" customHeight="true" outlineLevel="0" collapsed="false">
      <c r="A28" s="14" t="s">
        <v>209</v>
      </c>
      <c r="B28" s="30" t="n">
        <f aca="false">B14*5</f>
        <v>700</v>
      </c>
      <c r="C28" s="30" t="n">
        <f aca="false">C14*5</f>
        <v>775</v>
      </c>
      <c r="D28" s="30" t="n">
        <f aca="false">D14*5</f>
        <v>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2026-03-20T17:31:48Z</dcterms:created>
  <dc:creator>openpyxl</dc:creator>
  <dc:description/>
  <dc:language>en-US</dc:language>
  <cp:lastModifiedBy/>
  <dcterms:modified xsi:type="dcterms:W3CDTF">2026-03-20T17:32:11Z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